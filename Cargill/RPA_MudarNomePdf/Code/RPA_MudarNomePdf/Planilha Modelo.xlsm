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cessos\CiaTalentos\Cargill\RPA_MudarNomePdf\Code\Rpa_MudarNomePdf\"/>
    </mc:Choice>
  </mc:AlternateContent>
  <xr:revisionPtr revIDLastSave="0" documentId="13_ncr:1_{EE70EF1E-A5D6-46A7-8E9A-A214835C453E}" xr6:coauthVersionLast="47" xr6:coauthVersionMax="47" xr10:uidLastSave="{00000000-0000-0000-0000-000000000000}"/>
  <bookViews>
    <workbookView xWindow="-15480" yWindow="-120" windowWidth="15600" windowHeight="11040" activeTab="1" xr2:uid="{A8A313AB-71C6-4115-9C0F-FDE97457A45A}"/>
  </bookViews>
  <sheets>
    <sheet name="arquivo_original (3)" sheetId="7" r:id="rId1"/>
    <sheet name="CVs Cargill" sheetId="2" r:id="rId2"/>
  </sheets>
  <externalReferences>
    <externalReference r:id="rId3"/>
  </externalReferences>
  <definedNames>
    <definedName name="_xlnm._FilterDatabase" localSheetId="1" hidden="1">'CVs Cargill'!$A$1:$A$13</definedName>
    <definedName name="DadosExternos_1" localSheetId="1" hidden="1">'CVs Cargill'!$B$1:$B$13</definedName>
    <definedName name="DadosExternos_2" localSheetId="0" hidden="1">'arquivo_original (3)'!$A$1:$F$16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2" i="2"/>
  <c r="H3" i="2"/>
  <c r="H4" i="2"/>
  <c r="H5" i="2"/>
  <c r="H6" i="2"/>
  <c r="H7" i="2"/>
  <c r="H8" i="2"/>
  <c r="H9" i="2"/>
  <c r="H10" i="2"/>
  <c r="H11" i="2"/>
  <c r="H12" i="2"/>
  <c r="H13" i="2"/>
  <c r="H2" i="2"/>
  <c r="C3" i="2"/>
  <c r="D3" i="2" s="1"/>
  <c r="C6" i="2"/>
  <c r="D6" i="2" s="1"/>
  <c r="C7" i="2"/>
  <c r="D7" i="2" s="1"/>
  <c r="C8" i="2"/>
  <c r="D8" i="2" s="1"/>
  <c r="C2" i="2"/>
  <c r="D2" i="2" s="1"/>
  <c r="C4" i="2"/>
  <c r="D4" i="2" s="1"/>
  <c r="C5" i="2"/>
  <c r="D5" i="2" s="1"/>
  <c r="C9" i="2"/>
  <c r="D9" i="2" s="1"/>
  <c r="C10" i="2"/>
  <c r="D10" i="2" s="1"/>
  <c r="C11" i="2"/>
  <c r="D11" i="2" s="1"/>
  <c r="C12" i="2"/>
  <c r="D12" i="2" s="1"/>
  <c r="C13" i="2"/>
  <c r="D13" i="2" s="1"/>
  <c r="E2" i="2"/>
  <c r="E3" i="2"/>
  <c r="E7" i="2"/>
  <c r="E11" i="2"/>
  <c r="E4" i="2"/>
  <c r="E8" i="2"/>
  <c r="E12" i="2"/>
  <c r="E5" i="2"/>
  <c r="E9" i="2"/>
  <c r="E13" i="2"/>
  <c r="E6" i="2"/>
  <c r="E10" i="2"/>
  <c r="F2" i="2" a="1"/>
  <c r="F13" i="2" a="1"/>
  <c r="F12" i="2" a="1"/>
  <c r="F10" i="2" a="1"/>
  <c r="F11" i="2" a="1"/>
  <c r="F8" i="2" a="1"/>
  <c r="F9" i="2" a="1"/>
  <c r="F7" i="2" a="1"/>
  <c r="F4" i="2" a="1"/>
  <c r="F5" i="2" a="1"/>
  <c r="F3" i="2" a="1"/>
  <c r="F6" i="2" a="1"/>
  <c r="F6" i="2" l="1"/>
  <c r="G6" i="2" s="1"/>
  <c r="F3" i="2"/>
  <c r="G3" i="2" s="1"/>
  <c r="F5" i="2"/>
  <c r="G5" i="2" s="1"/>
  <c r="F4" i="2"/>
  <c r="G4" i="2" s="1"/>
  <c r="F7" i="2"/>
  <c r="G7" i="2" s="1"/>
  <c r="F9" i="2"/>
  <c r="G9" i="2" s="1"/>
  <c r="F8" i="2"/>
  <c r="G8" i="2" s="1"/>
  <c r="F11" i="2"/>
  <c r="G11" i="2" s="1"/>
  <c r="F10" i="2"/>
  <c r="G10" i="2" s="1"/>
  <c r="F12" i="2"/>
  <c r="G12" i="2" s="1"/>
  <c r="F13" i="2"/>
  <c r="G13" i="2" s="1"/>
  <c r="F2" i="2"/>
  <c r="G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1CD29A-DE71-4441-94EA-ABF4476997C5}" keepAlive="1" name="Consulta - arquivo_original" description="Conexão com a consulta 'arquivo_original' na pasta de trabalho." type="5" refreshedVersion="0" background="1">
    <dbPr connection="Provider=Microsoft.Mashup.OleDb.1;Data Source=$Workbook$;Location=arquivo_original;Extended Properties=&quot;&quot;" command="SELECT * FROM [arquivo_original]"/>
  </connection>
  <connection id="2" xr16:uid="{AF845BC0-6B49-45A0-BCCE-AF5BABCDE088}" keepAlive="1" name="Consulta - arquivo_original (2)" description="Conexão com a consulta 'arquivo_original (2)' na pasta de trabalho." type="5" refreshedVersion="0" background="1">
    <dbPr connection="Provider=Microsoft.Mashup.OleDb.1;Data Source=$Workbook$;Location=&quot;arquivo_original (2)&quot;;Extended Properties=&quot;&quot;" command="SELECT * FROM [arquivo_original (2)]"/>
  </connection>
  <connection id="3" xr16:uid="{56D2CB52-0556-44C0-BADD-FB3EABB0A3BE}" keepAlive="1" name="Consulta - arquivo_original (3)" description="Conexão com a consulta 'arquivo_original (3)' na pasta de trabalho." type="5" refreshedVersion="8" background="1" saveData="1">
    <dbPr connection="Provider=Microsoft.Mashup.OleDb.1;Data Source=$Workbook$;Location=&quot;arquivo_original (3)&quot;;Extended Properties=&quot;&quot;" command="SELECT * FROM [arquivo_original (3)]"/>
  </connection>
  <connection id="4" xr16:uid="{CC8EEAFD-86B3-42CD-B2D6-A73C11FDBF13}" keepAlive="1" name="Consulta - CVs Cargill" description="Conexão com a consulta 'CVs Cargill' na pasta de trabalho." type="5" refreshedVersion="8" background="1" saveData="1">
    <dbPr connection="Provider=Microsoft.Mashup.OleDb.1;Data Source=$Workbook$;Location=&quot;CVs Cargill&quot;;Extended Properties=&quot;&quot;" command="SELECT * FROM [CVs Cargill]"/>
  </connection>
  <connection id="5" xr16:uid="{D7FAC296-F849-4D5D-A37D-44B6E70879D2}" keepAlive="1" name="Consulta - CVs Cargill (2)" description="Conexão com a consulta 'CVs Cargill (2)' na pasta de trabalho." type="5" refreshedVersion="0" background="1">
    <dbPr connection="Provider=Microsoft.Mashup.OleDb.1;Data Source=$Workbook$;Location=&quot;CVs Cargill (2)&quot;;Extended Properties=&quot;&quot;" command="SELECT * FROM [CVs Cargill (2)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<sst xmlns="http://schemas.openxmlformats.org/spreadsheetml/2006/main" count="72" uniqueCount="44">
  <si>
    <t>Nome arquivo</t>
  </si>
  <si>
    <t>Letras iniciais</t>
  </si>
  <si>
    <t>Nome do arquivo final</t>
  </si>
  <si>
    <t>Nome Antigo</t>
  </si>
  <si>
    <t>Nome Novo</t>
  </si>
  <si>
    <t>Nome completo normal</t>
  </si>
  <si>
    <t>Nome completo maiusculo</t>
  </si>
  <si>
    <t>Nome completo sem acento</t>
  </si>
  <si>
    <t>Name</t>
  </si>
  <si>
    <t>Extension</t>
  </si>
  <si>
    <t>Date accessed</t>
  </si>
  <si>
    <t>Date modified</t>
  </si>
  <si>
    <t>Date created</t>
  </si>
  <si>
    <t>Folder Path</t>
  </si>
  <si>
    <t>AmandaAyme_3217276.pdf</t>
  </si>
  <si>
    <t>C:\UiPath\Muda nome PDF\arquivo_original\</t>
  </si>
  <si>
    <t>ClaudielenLaizaDaSilvaAlves_40381356.pdf</t>
  </si>
  <si>
    <t>DaviVieiraDeOliveira_40372621.pdf</t>
  </si>
  <si>
    <t>HewellineOliveiraSilva_40328980.pdf</t>
  </si>
  <si>
    <t>IzabeleBezerraBarros_2755407.pdf</t>
  </si>
  <si>
    <t>JulianyBarbosaDosSantos_2755230.pdf</t>
  </si>
  <si>
    <t>JulioCesarDeAraujoFerreira_3178954.pdf</t>
  </si>
  <si>
    <t>LucasDaConceicaoHolanda_3744541.pdf</t>
  </si>
  <si>
    <t>MAISSLAPereiraRodrigues_3385617.pdf</t>
  </si>
  <si>
    <t>NathalyCarolineFurtadoNobre_3656082.pdf</t>
  </si>
  <si>
    <t>RAFAELISOUZASILVA_2899779.pdf</t>
  </si>
  <si>
    <t>ThierlaineDosSantosNery_3362730.pdf</t>
  </si>
  <si>
    <t>AmandaAyme</t>
  </si>
  <si>
    <t>ClaudielenLaizaDaSilvaAlves</t>
  </si>
  <si>
    <t>DaviVieiraDeOliveira</t>
  </si>
  <si>
    <t>FernandaRamosPaulino</t>
  </si>
  <si>
    <t>HewellineOliveiraSilva</t>
  </si>
  <si>
    <t>IzabeleBezerraBarros</t>
  </si>
  <si>
    <t>JulianyBarbosaDosSantos</t>
  </si>
  <si>
    <t>JulioCesarDeAraujoFerreira</t>
  </si>
  <si>
    <t>LucasDaConceicaoHolanda</t>
  </si>
  <si>
    <t>MAISSLAPereiraRodrigues</t>
  </si>
  <si>
    <t>NathalyCarolineFurtadoNobre</t>
  </si>
  <si>
    <t>RafaelaDeOliveiraDaSilva</t>
  </si>
  <si>
    <t>RAFAELISOUZASILVA</t>
  </si>
  <si>
    <t>ThierlaineDosSantosNery</t>
  </si>
  <si>
    <t>VeronicaEdinaraVolpatoCoelho</t>
  </si>
  <si>
    <t>pdf</t>
  </si>
  <si>
    <t>Código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</si>
</sst>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theme="9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4" fillId="0" borderId="0"/>
  </cellStyleXfs>
  <cellXfs count="8">
    <xf numFmtId="0" fontId="0" fillId="0" borderId="0" xfId="0"/>
    <xf numFmtId="49" fontId="3" fillId="2" borderId="0" xfId="0" applyNumberFormat="1" applyFont="1" applyFill="1"/>
    <xf numFmtId="0" fontId="5" fillId="2" borderId="0" xfId="0" applyFont="1" applyFill="1" applyAlignment="1">
      <alignment horizontal="center"/>
    </xf>
    <xf numFmtId="0" fontId="3" fillId="4" borderId="0" xfId="0" applyFont="1" applyFill="1"/>
    <xf numFmtId="0" fontId="1" fillId="5" borderId="1" xfId="0" applyFont="1" applyFill="1" applyBorder="1"/>
    <xf numFmtId="22" fontId="0" fillId="0" borderId="0" xfId="0" applyNumberFormat="1"/>
    <xf numFmtId="0" fontId="0" fillId="3" borderId="2" xfId="0" applyFill="1" applyBorder="1"/>
    <xf numFmtId="0" fontId="0" fillId="0" borderId="2" xfId="0" applyBorder="1"/>
  </cellXfs>
  <cellStyles count="2">
    <cellStyle name="Normal" xfId="0" builtinId="0"/>
    <cellStyle name="Normal 2" xfId="1" xr:uid="{BB210CD6-584B-4115-8575-11613241AE05}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uilherme\OneDrive\Documentos\CiaTalentos%20Anota&#231;&#245;es\Processos%20old\OneDrive_1_29-05-2024\Muda%20nome%20PDF\Mudar_nome_pdf_RPA\Renomear%20cvs,%20mover%20para%20as%20pastas%20correspondentes%2028.06.xlsx" TargetMode="External"/><Relationship Id="rId1" Type="http://schemas.openxmlformats.org/officeDocument/2006/relationships/externalLinkPath" Target="Renomear%20cvs,%20mover%20para%20as%20pastas%20correspondentes%2028.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gendas"/>
      <sheetName val="Horários originais "/>
    </sheetNames>
    <sheetDataSet>
      <sheetData sheetId="0">
        <row r="1">
          <cell r="A1" t="str">
            <v>Código</v>
          </cell>
          <cell r="B1" t="str">
            <v>Nome do Candidato</v>
          </cell>
        </row>
        <row r="2">
          <cell r="A2">
            <v>3217276</v>
          </cell>
          <cell r="B2" t="str">
            <v>Amanda Aymê</v>
          </cell>
        </row>
        <row r="3">
          <cell r="A3">
            <v>40381356</v>
          </cell>
          <cell r="B3" t="str">
            <v>Claudielen Laíza da Silva Alves</v>
          </cell>
        </row>
        <row r="4">
          <cell r="A4">
            <v>40372621</v>
          </cell>
          <cell r="B4" t="str">
            <v>Davi Vieira De Oliveira</v>
          </cell>
        </row>
        <row r="5">
          <cell r="A5">
            <v>40328980</v>
          </cell>
          <cell r="B5" t="str">
            <v>Hewelline Oliveira Silva</v>
          </cell>
        </row>
        <row r="6">
          <cell r="A6">
            <v>2755407</v>
          </cell>
          <cell r="B6" t="str">
            <v>Izabele Bezerra Barros</v>
          </cell>
        </row>
        <row r="7">
          <cell r="A7">
            <v>2755230</v>
          </cell>
          <cell r="B7" t="str">
            <v xml:space="preserve">Juliany Barbosa dos Santos </v>
          </cell>
        </row>
        <row r="8">
          <cell r="A8">
            <v>3178954</v>
          </cell>
          <cell r="B8" t="str">
            <v>Júlio Cesar de Araújo Ferreira</v>
          </cell>
        </row>
        <row r="9">
          <cell r="A9">
            <v>3744541</v>
          </cell>
          <cell r="B9" t="str">
            <v>Lucas da Conceição Holanda</v>
          </cell>
        </row>
        <row r="10">
          <cell r="A10">
            <v>3385617</v>
          </cell>
          <cell r="B10" t="str">
            <v>MAISSLA pereira Rodrigues</v>
          </cell>
        </row>
        <row r="11">
          <cell r="A11">
            <v>3656082</v>
          </cell>
          <cell r="B11" t="str">
            <v>Nathaly Caroline Furtado Nobre</v>
          </cell>
        </row>
        <row r="12">
          <cell r="A12">
            <v>2899779</v>
          </cell>
          <cell r="B12" t="str">
            <v>RAFAELI SOUZA SILVA</v>
          </cell>
        </row>
        <row r="13">
          <cell r="A13">
            <v>3362730</v>
          </cell>
          <cell r="B13" t="str">
            <v xml:space="preserve">Thierlaine dos Santos Nery 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9798DE93-F480-440D-B153-46CE756978FF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Extension" tableColumnId="2"/>
      <queryTableField id="3" name="Date accessed" tableColumnId="3"/>
      <queryTableField id="4" name="Date modified" tableColumnId="4"/>
      <queryTableField id="5" name="Date created" tableColumnId="5"/>
      <queryTableField id="6" name="Folder Path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BA358C53-7BA6-42D3-946B-F2FDDD051622}" autoFormatId="16" applyNumberFormats="0" applyBorderFormats="0" applyFontFormats="0" applyPatternFormats="0" applyAlignmentFormats="0" applyWidthHeightFormats="0">
  <queryTableRefresh nextId="18" unboundColumnsRight="5">
    <queryTableFields count="6">
      <queryTableField id="1" name="Name" tableColumnId="1"/>
      <queryTableField id="7" dataBound="0" tableColumnId="7"/>
      <queryTableField id="9" dataBound="0" tableColumnId="9"/>
      <queryTableField id="10" dataBound="0" tableColumnId="10"/>
      <queryTableField id="11" dataBound="0" tableColumnId="11"/>
      <queryTableField id="12" dataBound="0" tableColumnId="12"/>
    </queryTableFields>
    <queryTableDeletedFields count="5">
      <deletedField name="Extension"/>
      <deletedField name="Date accessed"/>
      <deletedField name="Date modified"/>
      <deletedField name="Date created"/>
      <deletedField name="Folder Path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7ADDD1-0A3D-48A7-9AC4-3D0C7E0D236D}" name="Tabela_arquivo_original__3" displayName="Tabela_arquivo_original__3" ref="A1:F16" tableType="queryTable" totalsRowShown="0">
  <autoFilter ref="A1:F16" xr:uid="{827ADDD1-0A3D-48A7-9AC4-3D0C7E0D236D}"/>
  <tableColumns count="6">
    <tableColumn id="1" xr3:uid="{E036683A-3ED3-406E-91B1-2101218545A7}" uniqueName="1" name="Name" queryTableFieldId="1" dataDxfId="15"/>
    <tableColumn id="2" xr3:uid="{D91D3F6B-5C75-4C9A-A2F9-FD72B45D0B50}" uniqueName="2" name="Extension" queryTableFieldId="2" dataDxfId="14"/>
    <tableColumn id="3" xr3:uid="{27AF03CF-6FEA-41FD-96F1-3C923C993D06}" uniqueName="3" name="Date accessed" queryTableFieldId="3" dataDxfId="13"/>
    <tableColumn id="4" xr3:uid="{647E9CEC-1814-49CB-9925-AF9A96FE589A}" uniqueName="4" name="Date modified" queryTableFieldId="4" dataDxfId="12"/>
    <tableColumn id="5" xr3:uid="{CD4CDBE7-DF05-46F8-BC5C-2C8890401B60}" uniqueName="5" name="Date created" queryTableFieldId="5" dataDxfId="11"/>
    <tableColumn id="6" xr3:uid="{FF39B38F-A0A1-41D2-9EA1-41ACF2096A60}" uniqueName="6" name="Folder Path" queryTableFieldId="6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E77E1B-BB92-4504-9FFC-5E6E84B1A0E5}" name="CVs_Cargill" displayName="CVs_Cargill" ref="B1:G13" tableType="queryTable" totalsRowShown="0">
  <autoFilter ref="B1:G13" xr:uid="{20E77E1B-BB92-4504-9FFC-5E6E84B1A0E5}"/>
  <tableColumns count="6">
    <tableColumn id="1" xr3:uid="{4D6F6BE5-008D-4125-9012-117EA14EEDE8}" uniqueName="1" name="Código" queryTableFieldId="1" dataDxfId="9" totalsRowDxfId="8"/>
    <tableColumn id="7" xr3:uid="{27EB627C-CC46-4F43-8AAE-ABBF89B691CE}" uniqueName="7" name="Nome completo normal" queryTableFieldId="7" dataDxfId="7">
      <calculatedColumnFormula>VLOOKUP(CVs_Cargill[[#This Row],[Código]],[1]Agendas!$A:$B,2,0)</calculatedColumnFormula>
    </tableColumn>
    <tableColumn id="9" xr3:uid="{E6232980-DA3A-4F3C-8971-529355D051FE}" uniqueName="9" name="Nome completo maiusculo" queryTableFieldId="9" dataDxfId="6" totalsRowDxfId="5">
      <calculatedColumnFormula>UPPER(CVs_Cargill[[#This Row],[Nome completo normal]])</calculatedColumnFormula>
    </tableColumn>
    <tableColumn id="10" xr3:uid="{85F1832F-9D2D-4EE9-BEBF-130BBC6B973A}" uniqueName="10" name="Nome completo sem acento" queryTableFieldId="10" dataDxfId="4">
      <calculatedColumnFormula>acento(CVs_Cargill[[#This Row],[Nome completo maiusculo]])</calculatedColumnFormula>
    </tableColumn>
    <tableColumn id="11" xr3:uid="{3B2C1EC5-81ED-4359-B629-7228AA300E0F}" uniqueName="11" name="Letras iniciais" queryTableFieldId="11" dataDxfId="3" totalsRowDxfId="2">
      <calculatedColumnFormula array="1">FirstCharacters(CVs_Cargill[[#This Row],[Nome completo sem acento]])</calculatedColumnFormula>
    </tableColumn>
    <tableColumn id="12" xr3:uid="{12FC098B-011B-4795-B665-38B0CB3BB133}" uniqueName="12" name="Nome do arquivo final" queryTableFieldId="12" dataDxfId="1" totalsRowDxfId="0">
      <calculatedColumnFormula>_xlfn.CONCAT(F2,"_",CVs_Cargill[[#This Row],[Código]])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D2A74-F78C-4E89-A9D6-FBA2C86BD20F}">
  <sheetPr codeName="Planilha2"/>
  <dimension ref="A1:F16"/>
  <sheetViews>
    <sheetView workbookViewId="0">
      <selection activeCell="B2" sqref="B2"/>
    </sheetView>
  </sheetViews>
  <sheetFormatPr defaultRowHeight="15" x14ac:dyDescent="0.25"/>
  <cols>
    <col min="1" max="1" width="39.5703125" bestFit="1" customWidth="1"/>
    <col min="2" max="2" width="11.28515625" bestFit="1" customWidth="1"/>
    <col min="3" max="5" width="15.7109375" bestFit="1" customWidth="1"/>
    <col min="6" max="6" width="38.42578125" bestFit="1" customWidth="1"/>
  </cols>
  <sheetData>
    <row r="1" spans="1:6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6" x14ac:dyDescent="0.25">
      <c r="A2" t="s">
        <v>27</v>
      </c>
      <c r="B2">
        <v>3217276</v>
      </c>
      <c r="C2" s="5" t="s">
        <v>42</v>
      </c>
      <c r="D2" s="5">
        <v>45103.562454050923</v>
      </c>
      <c r="E2" s="5">
        <v>45103.562606921296</v>
      </c>
      <c r="F2" t="s">
        <v>15</v>
      </c>
    </row>
    <row r="3" spans="1:6" x14ac:dyDescent="0.25">
      <c r="A3" t="s">
        <v>28</v>
      </c>
      <c r="B3">
        <v>40381356</v>
      </c>
      <c r="C3" s="5" t="s">
        <v>42</v>
      </c>
      <c r="D3" s="5">
        <v>45103.562454236111</v>
      </c>
      <c r="E3" s="5">
        <v>45103.562606967593</v>
      </c>
      <c r="F3" t="s">
        <v>15</v>
      </c>
    </row>
    <row r="4" spans="1:6" x14ac:dyDescent="0.25">
      <c r="A4" t="s">
        <v>29</v>
      </c>
      <c r="B4">
        <v>40372621</v>
      </c>
      <c r="C4" s="5" t="s">
        <v>42</v>
      </c>
      <c r="D4" s="5">
        <v>45103.562454444444</v>
      </c>
      <c r="E4" s="5">
        <v>45103.562607060187</v>
      </c>
      <c r="F4" t="s">
        <v>15</v>
      </c>
    </row>
    <row r="5" spans="1:6" x14ac:dyDescent="0.25">
      <c r="A5" t="s">
        <v>30</v>
      </c>
      <c r="B5">
        <v>40346880</v>
      </c>
      <c r="C5" s="5" t="s">
        <v>42</v>
      </c>
      <c r="D5" s="5">
        <v>45103.562454629631</v>
      </c>
      <c r="E5" s="5">
        <v>45103.562607106483</v>
      </c>
      <c r="F5" t="s">
        <v>15</v>
      </c>
    </row>
    <row r="6" spans="1:6" x14ac:dyDescent="0.25">
      <c r="A6" t="s">
        <v>31</v>
      </c>
      <c r="B6">
        <v>40328980</v>
      </c>
      <c r="C6" s="5" t="s">
        <v>42</v>
      </c>
      <c r="D6" s="5">
        <v>45103.562454814812</v>
      </c>
      <c r="E6" s="5">
        <v>45103.56260715278</v>
      </c>
      <c r="F6" t="s">
        <v>15</v>
      </c>
    </row>
    <row r="7" spans="1:6" x14ac:dyDescent="0.25">
      <c r="A7" t="s">
        <v>32</v>
      </c>
      <c r="B7">
        <v>2755407</v>
      </c>
      <c r="C7" s="5" t="s">
        <v>42</v>
      </c>
      <c r="D7" s="5">
        <v>45103.562455046296</v>
      </c>
      <c r="E7" s="5">
        <v>45103.562607210646</v>
      </c>
      <c r="F7" t="s">
        <v>15</v>
      </c>
    </row>
    <row r="8" spans="1:6" x14ac:dyDescent="0.25">
      <c r="A8" t="s">
        <v>33</v>
      </c>
      <c r="B8">
        <v>2755230</v>
      </c>
      <c r="C8" s="5" t="s">
        <v>42</v>
      </c>
      <c r="D8" s="5">
        <v>45103.562455254629</v>
      </c>
      <c r="E8" s="5">
        <v>45103.562607245367</v>
      </c>
      <c r="F8" t="s">
        <v>15</v>
      </c>
    </row>
    <row r="9" spans="1:6" x14ac:dyDescent="0.25">
      <c r="A9" t="s">
        <v>34</v>
      </c>
      <c r="B9">
        <v>3178954</v>
      </c>
      <c r="C9" s="5" t="s">
        <v>42</v>
      </c>
      <c r="D9" s="5">
        <v>45103.562455451392</v>
      </c>
      <c r="E9" s="5">
        <v>45103.56260730324</v>
      </c>
      <c r="F9" t="s">
        <v>15</v>
      </c>
    </row>
    <row r="10" spans="1:6" x14ac:dyDescent="0.25">
      <c r="A10" t="s">
        <v>35</v>
      </c>
      <c r="B10">
        <v>3744541</v>
      </c>
      <c r="C10" s="5" t="s">
        <v>42</v>
      </c>
      <c r="D10" s="5">
        <v>45103.562455648149</v>
      </c>
      <c r="E10" s="5">
        <v>45103.562607349537</v>
      </c>
      <c r="F10" t="s">
        <v>15</v>
      </c>
    </row>
    <row r="11" spans="1:6" x14ac:dyDescent="0.25">
      <c r="A11" t="s">
        <v>36</v>
      </c>
      <c r="B11">
        <v>3385617</v>
      </c>
      <c r="C11" s="5" t="s">
        <v>42</v>
      </c>
      <c r="D11" s="5">
        <v>45103.562455844905</v>
      </c>
      <c r="E11" s="5">
        <v>45103.562607395834</v>
      </c>
      <c r="F11" t="s">
        <v>15</v>
      </c>
    </row>
    <row r="12" spans="1:6" x14ac:dyDescent="0.25">
      <c r="A12" t="s">
        <v>37</v>
      </c>
      <c r="B12">
        <v>3656082</v>
      </c>
      <c r="C12" s="5" t="s">
        <v>42</v>
      </c>
      <c r="D12" s="5">
        <v>45103.562456018517</v>
      </c>
      <c r="E12" s="5">
        <v>45103.562607442131</v>
      </c>
      <c r="F12" t="s">
        <v>15</v>
      </c>
    </row>
    <row r="13" spans="1:6" x14ac:dyDescent="0.25">
      <c r="A13" t="s">
        <v>38</v>
      </c>
      <c r="B13">
        <v>40358938</v>
      </c>
      <c r="C13" s="5" t="s">
        <v>42</v>
      </c>
      <c r="D13" s="5">
        <v>45103.562456192129</v>
      </c>
      <c r="E13" s="5">
        <v>45103.562607499996</v>
      </c>
      <c r="F13" t="s">
        <v>15</v>
      </c>
    </row>
    <row r="14" spans="1:6" x14ac:dyDescent="0.25">
      <c r="A14" t="s">
        <v>39</v>
      </c>
      <c r="B14">
        <v>2899779</v>
      </c>
      <c r="C14" s="5" t="s">
        <v>42</v>
      </c>
      <c r="D14" s="5">
        <v>45103.562456388892</v>
      </c>
      <c r="E14" s="5">
        <v>45103.562607546293</v>
      </c>
      <c r="F14" t="s">
        <v>15</v>
      </c>
    </row>
    <row r="15" spans="1:6" x14ac:dyDescent="0.25">
      <c r="A15" t="s">
        <v>40</v>
      </c>
      <c r="B15">
        <v>3362730</v>
      </c>
      <c r="C15" s="5" t="s">
        <v>42</v>
      </c>
      <c r="D15" s="5">
        <v>45103.562456562497</v>
      </c>
      <c r="E15" s="5">
        <v>45103.56260759259</v>
      </c>
      <c r="F15" t="s">
        <v>15</v>
      </c>
    </row>
    <row r="16" spans="1:6" x14ac:dyDescent="0.25">
      <c r="A16" t="s">
        <v>41</v>
      </c>
      <c r="B16">
        <v>40368900</v>
      </c>
      <c r="C16" s="5" t="s">
        <v>42</v>
      </c>
      <c r="D16" s="5">
        <v>45103.562456747684</v>
      </c>
      <c r="E16" s="5">
        <v>45103.562606863423</v>
      </c>
      <c r="F16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54C05-EDA2-4994-B12E-85842AB38451}">
  <sheetPr codeName="Planilha1"/>
  <dimension ref="A1:I13"/>
  <sheetViews>
    <sheetView tabSelected="1" topLeftCell="H1" zoomScale="90" zoomScaleNormal="90" workbookViewId="0">
      <selection activeCell="A2" sqref="A2:I13"/>
    </sheetView>
  </sheetViews>
  <sheetFormatPr defaultRowHeight="15" x14ac:dyDescent="0.25"/>
  <cols>
    <col min="1" max="1" width="64.85546875" customWidth="1"/>
    <col min="2" max="2" width="25.7109375" customWidth="1"/>
    <col min="3" max="3" width="39.42578125" bestFit="1" customWidth="1"/>
    <col min="4" max="4" width="45.85546875" bestFit="1" customWidth="1"/>
    <col min="5" max="5" width="48" bestFit="1" customWidth="1"/>
    <col min="6" max="6" width="45.28515625" bestFit="1" customWidth="1"/>
    <col min="7" max="7" width="23.140625" bestFit="1" customWidth="1"/>
    <col min="8" max="8" width="85" bestFit="1" customWidth="1"/>
    <col min="9" max="9" width="68.28515625" bestFit="1" customWidth="1"/>
  </cols>
  <sheetData>
    <row r="1" spans="1:9" x14ac:dyDescent="0.25">
      <c r="A1" s="4" t="s">
        <v>0</v>
      </c>
      <c r="B1" s="1" t="s">
        <v>43</v>
      </c>
      <c r="C1" t="s">
        <v>5</v>
      </c>
      <c r="D1" t="s">
        <v>6</v>
      </c>
      <c r="E1" t="s">
        <v>7</v>
      </c>
      <c r="F1" t="s">
        <v>1</v>
      </c>
      <c r="G1" s="3" t="s">
        <v>2</v>
      </c>
      <c r="H1" s="2" t="s">
        <v>3</v>
      </c>
      <c r="I1" s="2" t="s">
        <v>4</v>
      </c>
    </row>
    <row r="2" spans="1:9" x14ac:dyDescent="0.25">
      <c r="A2" s="6" t="s">
        <v>14</v>
      </c>
      <c r="B2">
        <v>3217276</v>
      </c>
      <c r="C2" t="str">
        <f>VLOOKUP(CVs_Cargill[[#This Row],[Código]],[1]Agendas!$A:$B,2,0)</f>
        <v>Amanda Aymê</v>
      </c>
      <c r="D2" t="str">
        <f>UPPER(CVs_Cargill[[#This Row],[Nome completo normal]])</f>
        <v>AMANDA AYMÊ</v>
      </c>
      <c r="E2" t="str">
        <f>acento(CVs_Cargill[[#This Row],[Nome completo maiusculo]])</f>
        <v>AMANDA AYME</v>
      </c>
      <c r="F2" t="str" cm="1">
        <f t="array" ref="F2">FirstCharacters(CVs_Cargill[[#This Row],[Nome completo sem acento]])</f>
        <v>A.A.</v>
      </c>
      <c r="G2" t="str">
        <f>_xlfn.CONCAT(F2,"_",CVs_Cargill[[#This Row],[Código]])</f>
        <v>A.A._3217276</v>
      </c>
      <c r="H2" t="str">
        <f>"C:\Processos\CiaTalentos\Cargill\RPA_MudarNomePdf\Input\arquivo_original\"&amp;A2&amp;""</f>
        <v>C:\Processos\CiaTalentos\Cargill\RPA_MudarNomePdf\Input\arquivo_original\AmandaAyme_3217276.pdf</v>
      </c>
      <c r="I2" t="str">
        <f>"C:\Processos\CiaTalentos\Cargill\RPA_MudarNomePdf\Output\arquivo_modificado\"&amp;G2&amp;".pdf"</f>
        <v>C:\Processos\CiaTalentos\Cargill\RPA_MudarNomePdf\Output\arquivo_modificado\A.A._3217276.pdf</v>
      </c>
    </row>
    <row r="3" spans="1:9" x14ac:dyDescent="0.25">
      <c r="A3" s="7" t="s">
        <v>16</v>
      </c>
      <c r="B3">
        <v>40381356</v>
      </c>
      <c r="C3" t="str">
        <f>VLOOKUP(CVs_Cargill[[#This Row],[Código]],[1]Agendas!$A:$B,2,0)</f>
        <v>Claudielen Laíza da Silva Alves</v>
      </c>
      <c r="D3" t="str">
        <f>UPPER(CVs_Cargill[[#This Row],[Nome completo normal]])</f>
        <v>CLAUDIELEN LAÍZA DA SILVA ALVES</v>
      </c>
      <c r="E3" t="str">
        <f>acento(CVs_Cargill[[#This Row],[Nome completo maiusculo]])</f>
        <v>CLAUDIELEN LAIZA DA SILVA ALVES</v>
      </c>
      <c r="F3" t="str" cm="1">
        <f t="array" ref="F3">FirstCharacters(CVs_Cargill[[#This Row],[Nome completo sem acento]])</f>
        <v>C.L.D.S.A.</v>
      </c>
      <c r="G3" t="str">
        <f>_xlfn.CONCAT(F3,"_",CVs_Cargill[[#This Row],[Código]])</f>
        <v>C.L.D.S.A._40381356</v>
      </c>
      <c r="H3" t="str">
        <f t="shared" ref="H3:H13" si="0">"C:\Processos\CiaTalentos\Cargill\RPA_MudarNomePdf\Input\arquivo_original\"&amp;A3&amp;""</f>
        <v>C:\Processos\CiaTalentos\Cargill\RPA_MudarNomePdf\Input\arquivo_original\ClaudielenLaizaDaSilvaAlves_40381356.pdf</v>
      </c>
      <c r="I3" t="str">
        <f t="shared" ref="I3:I13" si="1">"C:\Processos\CiaTalentos\Cargill\RPA_MudarNomePdf\Output\arquivo_modificado\"&amp;G3&amp;".pdf"</f>
        <v>C:\Processos\CiaTalentos\Cargill\RPA_MudarNomePdf\Output\arquivo_modificado\C.L.D.S.A._40381356.pdf</v>
      </c>
    </row>
    <row r="4" spans="1:9" x14ac:dyDescent="0.25">
      <c r="A4" s="6" t="s">
        <v>17</v>
      </c>
      <c r="B4">
        <v>40372621</v>
      </c>
      <c r="C4" t="str">
        <f>VLOOKUP(CVs_Cargill[[#This Row],[Código]],[1]Agendas!$A:$B,2,0)</f>
        <v>Davi Vieira De Oliveira</v>
      </c>
      <c r="D4" t="str">
        <f>UPPER(CVs_Cargill[[#This Row],[Nome completo normal]])</f>
        <v>DAVI VIEIRA DE OLIVEIRA</v>
      </c>
      <c r="E4" t="str">
        <f>acento(CVs_Cargill[[#This Row],[Nome completo maiusculo]])</f>
        <v>DAVI VIEIRA DE OLIVEIRA</v>
      </c>
      <c r="F4" t="str" cm="1">
        <f t="array" ref="F4">FirstCharacters(CVs_Cargill[[#This Row],[Nome completo sem acento]])</f>
        <v>D.V.D.O.</v>
      </c>
      <c r="G4" t="str">
        <f>_xlfn.CONCAT(F4,"_",CVs_Cargill[[#This Row],[Código]])</f>
        <v>D.V.D.O._40372621</v>
      </c>
      <c r="H4" t="str">
        <f t="shared" si="0"/>
        <v>C:\Processos\CiaTalentos\Cargill\RPA_MudarNomePdf\Input\arquivo_original\DaviVieiraDeOliveira_40372621.pdf</v>
      </c>
      <c r="I4" t="str">
        <f t="shared" si="1"/>
        <v>C:\Processos\CiaTalentos\Cargill\RPA_MudarNomePdf\Output\arquivo_modificado\D.V.D.O._40372621.pdf</v>
      </c>
    </row>
    <row r="5" spans="1:9" x14ac:dyDescent="0.25">
      <c r="A5" s="6" t="s">
        <v>18</v>
      </c>
      <c r="B5">
        <v>40328980</v>
      </c>
      <c r="C5" t="str">
        <f>VLOOKUP(CVs_Cargill[[#This Row],[Código]],[1]Agendas!$A:$B,2,0)</f>
        <v>Hewelline Oliveira Silva</v>
      </c>
      <c r="D5" t="str">
        <f>UPPER(CVs_Cargill[[#This Row],[Nome completo normal]])</f>
        <v>HEWELLINE OLIVEIRA SILVA</v>
      </c>
      <c r="E5" t="str">
        <f>acento(CVs_Cargill[[#This Row],[Nome completo maiusculo]])</f>
        <v>HEWELLINE OLIVEIRA SILVA</v>
      </c>
      <c r="F5" t="str" cm="1">
        <f t="array" ref="F5">FirstCharacters(CVs_Cargill[[#This Row],[Nome completo sem acento]])</f>
        <v>H.O.S.</v>
      </c>
      <c r="G5" t="str">
        <f>_xlfn.CONCAT(F5,"_",CVs_Cargill[[#This Row],[Código]])</f>
        <v>H.O.S._40328980</v>
      </c>
      <c r="H5" t="str">
        <f t="shared" si="0"/>
        <v>C:\Processos\CiaTalentos\Cargill\RPA_MudarNomePdf\Input\arquivo_original\HewellineOliveiraSilva_40328980.pdf</v>
      </c>
      <c r="I5" t="str">
        <f t="shared" si="1"/>
        <v>C:\Processos\CiaTalentos\Cargill\RPA_MudarNomePdf\Output\arquivo_modificado\H.O.S._40328980.pdf</v>
      </c>
    </row>
    <row r="6" spans="1:9" x14ac:dyDescent="0.25">
      <c r="A6" s="7" t="s">
        <v>19</v>
      </c>
      <c r="B6">
        <v>2755407</v>
      </c>
      <c r="C6" t="str">
        <f>VLOOKUP(CVs_Cargill[[#This Row],[Código]],[1]Agendas!$A:$B,2,0)</f>
        <v>Izabele Bezerra Barros</v>
      </c>
      <c r="D6" t="str">
        <f>UPPER(CVs_Cargill[[#This Row],[Nome completo normal]])</f>
        <v>IZABELE BEZERRA BARROS</v>
      </c>
      <c r="E6" t="str">
        <f>acento(CVs_Cargill[[#This Row],[Nome completo maiusculo]])</f>
        <v>IZABELE BEZERRA BARROS</v>
      </c>
      <c r="F6" t="str" cm="1">
        <f t="array" ref="F6">FirstCharacters(CVs_Cargill[[#This Row],[Nome completo sem acento]])</f>
        <v>I.B.B.</v>
      </c>
      <c r="G6" t="str">
        <f>_xlfn.CONCAT(F6,"_",CVs_Cargill[[#This Row],[Código]])</f>
        <v>I.B.B._2755407</v>
      </c>
      <c r="H6" t="str">
        <f t="shared" si="0"/>
        <v>C:\Processos\CiaTalentos\Cargill\RPA_MudarNomePdf\Input\arquivo_original\IzabeleBezerraBarros_2755407.pdf</v>
      </c>
      <c r="I6" t="str">
        <f t="shared" si="1"/>
        <v>C:\Processos\CiaTalentos\Cargill\RPA_MudarNomePdf\Output\arquivo_modificado\I.B.B._2755407.pdf</v>
      </c>
    </row>
    <row r="7" spans="1:9" x14ac:dyDescent="0.25">
      <c r="A7" s="6" t="s">
        <v>20</v>
      </c>
      <c r="B7">
        <v>2755230</v>
      </c>
      <c r="C7" t="str">
        <f>VLOOKUP(CVs_Cargill[[#This Row],[Código]],[1]Agendas!$A:$B,2,0)</f>
        <v xml:space="preserve">Juliany Barbosa dos Santos </v>
      </c>
      <c r="D7" t="str">
        <f>UPPER(CVs_Cargill[[#This Row],[Nome completo normal]])</f>
        <v xml:space="preserve">JULIANY BARBOSA DOS SANTOS </v>
      </c>
      <c r="E7" t="str">
        <f>acento(CVs_Cargill[[#This Row],[Nome completo maiusculo]])</f>
        <v xml:space="preserve">JULIANY BARBOSA DOS SANTOS </v>
      </c>
      <c r="F7" t="str" cm="1">
        <f t="array" ref="F7">FirstCharacters(CVs_Cargill[[#This Row],[Nome completo sem acento]])</f>
        <v>J.B.D.S.</v>
      </c>
      <c r="G7" t="str">
        <f>_xlfn.CONCAT(F7,"_",CVs_Cargill[[#This Row],[Código]])</f>
        <v>J.B.D.S._2755230</v>
      </c>
      <c r="H7" t="str">
        <f t="shared" si="0"/>
        <v>C:\Processos\CiaTalentos\Cargill\RPA_MudarNomePdf\Input\arquivo_original\JulianyBarbosaDosSantos_2755230.pdf</v>
      </c>
      <c r="I7" t="str">
        <f t="shared" si="1"/>
        <v>C:\Processos\CiaTalentos\Cargill\RPA_MudarNomePdf\Output\arquivo_modificado\J.B.D.S._2755230.pdf</v>
      </c>
    </row>
    <row r="8" spans="1:9" x14ac:dyDescent="0.25">
      <c r="A8" s="7" t="s">
        <v>21</v>
      </c>
      <c r="B8">
        <v>3178954</v>
      </c>
      <c r="C8" t="str">
        <f>VLOOKUP(CVs_Cargill[[#This Row],[Código]],[1]Agendas!$A:$B,2,0)</f>
        <v>Júlio Cesar de Araújo Ferreira</v>
      </c>
      <c r="D8" t="str">
        <f>UPPER(CVs_Cargill[[#This Row],[Nome completo normal]])</f>
        <v>JÚLIO CESAR DE ARAÚJO FERREIRA</v>
      </c>
      <c r="E8" t="str">
        <f>acento(CVs_Cargill[[#This Row],[Nome completo maiusculo]])</f>
        <v>JULIO CESAR DE ARAUJO FERREIRA</v>
      </c>
      <c r="F8" t="str" cm="1">
        <f t="array" ref="F8">FirstCharacters(CVs_Cargill[[#This Row],[Nome completo sem acento]])</f>
        <v>J.C.D.A.F.</v>
      </c>
      <c r="G8" t="str">
        <f>_xlfn.CONCAT(F8,"_",CVs_Cargill[[#This Row],[Código]])</f>
        <v>J.C.D.A.F._3178954</v>
      </c>
      <c r="H8" t="str">
        <f t="shared" si="0"/>
        <v>C:\Processos\CiaTalentos\Cargill\RPA_MudarNomePdf\Input\arquivo_original\JulioCesarDeAraujoFerreira_3178954.pdf</v>
      </c>
      <c r="I8" t="str">
        <f t="shared" si="1"/>
        <v>C:\Processos\CiaTalentos\Cargill\RPA_MudarNomePdf\Output\arquivo_modificado\J.C.D.A.F._3178954.pdf</v>
      </c>
    </row>
    <row r="9" spans="1:9" x14ac:dyDescent="0.25">
      <c r="A9" s="6" t="s">
        <v>22</v>
      </c>
      <c r="B9">
        <v>3744541</v>
      </c>
      <c r="C9" t="str">
        <f>VLOOKUP(CVs_Cargill[[#This Row],[Código]],[1]Agendas!$A:$B,2,0)</f>
        <v>Lucas da Conceição Holanda</v>
      </c>
      <c r="D9" t="str">
        <f>UPPER(CVs_Cargill[[#This Row],[Nome completo normal]])</f>
        <v>LUCAS DA CONCEIÇÃO HOLANDA</v>
      </c>
      <c r="E9" t="str">
        <f>acento(CVs_Cargill[[#This Row],[Nome completo maiusculo]])</f>
        <v>LUCAS DA CONCEICAO HOLANDA</v>
      </c>
      <c r="F9" t="str" cm="1">
        <f t="array" ref="F9">FirstCharacters(CVs_Cargill[[#This Row],[Nome completo sem acento]])</f>
        <v>L.D.C.H.</v>
      </c>
      <c r="G9" t="str">
        <f>_xlfn.CONCAT(F9,"_",CVs_Cargill[[#This Row],[Código]])</f>
        <v>L.D.C.H._3744541</v>
      </c>
      <c r="H9" t="str">
        <f t="shared" si="0"/>
        <v>C:\Processos\CiaTalentos\Cargill\RPA_MudarNomePdf\Input\arquivo_original\LucasDaConceicaoHolanda_3744541.pdf</v>
      </c>
      <c r="I9" t="str">
        <f t="shared" si="1"/>
        <v>C:\Processos\CiaTalentos\Cargill\RPA_MudarNomePdf\Output\arquivo_modificado\L.D.C.H._3744541.pdf</v>
      </c>
    </row>
    <row r="10" spans="1:9" x14ac:dyDescent="0.25">
      <c r="A10" s="7" t="s">
        <v>23</v>
      </c>
      <c r="B10">
        <v>3385617</v>
      </c>
      <c r="C10" t="str">
        <f>VLOOKUP(CVs_Cargill[[#This Row],[Código]],[1]Agendas!$A:$B,2,0)</f>
        <v>MAISSLA pereira Rodrigues</v>
      </c>
      <c r="D10" t="str">
        <f>UPPER(CVs_Cargill[[#This Row],[Nome completo normal]])</f>
        <v>MAISSLA PEREIRA RODRIGUES</v>
      </c>
      <c r="E10" t="str">
        <f>acento(CVs_Cargill[[#This Row],[Nome completo maiusculo]])</f>
        <v>MAISSLA PEREIRA RODRIGUES</v>
      </c>
      <c r="F10" t="str" cm="1">
        <f t="array" ref="F10">FirstCharacters(CVs_Cargill[[#This Row],[Nome completo sem acento]])</f>
        <v>M.P.R.</v>
      </c>
      <c r="G10" t="str">
        <f>_xlfn.CONCAT(F10,"_",CVs_Cargill[[#This Row],[Código]])</f>
        <v>M.P.R._3385617</v>
      </c>
      <c r="H10" t="str">
        <f t="shared" si="0"/>
        <v>C:\Processos\CiaTalentos\Cargill\RPA_MudarNomePdf\Input\arquivo_original\MAISSLAPereiraRodrigues_3385617.pdf</v>
      </c>
      <c r="I10" t="str">
        <f t="shared" si="1"/>
        <v>C:\Processos\CiaTalentos\Cargill\RPA_MudarNomePdf\Output\arquivo_modificado\M.P.R._3385617.pdf</v>
      </c>
    </row>
    <row r="11" spans="1:9" x14ac:dyDescent="0.25">
      <c r="A11" s="6" t="s">
        <v>24</v>
      </c>
      <c r="B11">
        <v>3656082</v>
      </c>
      <c r="C11" t="str">
        <f>VLOOKUP(CVs_Cargill[[#This Row],[Código]],[1]Agendas!$A:$B,2,0)</f>
        <v>Nathaly Caroline Furtado Nobre</v>
      </c>
      <c r="D11" t="str">
        <f>UPPER(CVs_Cargill[[#This Row],[Nome completo normal]])</f>
        <v>NATHALY CAROLINE FURTADO NOBRE</v>
      </c>
      <c r="E11" t="str">
        <f>acento(CVs_Cargill[[#This Row],[Nome completo maiusculo]])</f>
        <v>NATHALY CAROLINE FURTADO NOBRE</v>
      </c>
      <c r="F11" t="str" cm="1">
        <f t="array" ref="F11">FirstCharacters(CVs_Cargill[[#This Row],[Nome completo sem acento]])</f>
        <v>N.C.F.N.</v>
      </c>
      <c r="G11" t="str">
        <f>_xlfn.CONCAT(F11,"_",CVs_Cargill[[#This Row],[Código]])</f>
        <v>N.C.F.N._3656082</v>
      </c>
      <c r="H11" t="str">
        <f t="shared" si="0"/>
        <v>C:\Processos\CiaTalentos\Cargill\RPA_MudarNomePdf\Input\arquivo_original\NathalyCarolineFurtadoNobre_3656082.pdf</v>
      </c>
      <c r="I11" t="str">
        <f t="shared" si="1"/>
        <v>C:\Processos\CiaTalentos\Cargill\RPA_MudarNomePdf\Output\arquivo_modificado\N.C.F.N._3656082.pdf</v>
      </c>
    </row>
    <row r="12" spans="1:9" x14ac:dyDescent="0.25">
      <c r="A12" s="6" t="s">
        <v>25</v>
      </c>
      <c r="B12">
        <v>2899779</v>
      </c>
      <c r="C12" t="str">
        <f>VLOOKUP(CVs_Cargill[[#This Row],[Código]],[1]Agendas!$A:$B,2,0)</f>
        <v>RAFAELI SOUZA SILVA</v>
      </c>
      <c r="D12" t="str">
        <f>UPPER(CVs_Cargill[[#This Row],[Nome completo normal]])</f>
        <v>RAFAELI SOUZA SILVA</v>
      </c>
      <c r="E12" t="str">
        <f>acento(CVs_Cargill[[#This Row],[Nome completo maiusculo]])</f>
        <v>RAFAELI SOUZA SILVA</v>
      </c>
      <c r="F12" t="str" cm="1">
        <f t="array" ref="F12">FirstCharacters(CVs_Cargill[[#This Row],[Nome completo sem acento]])</f>
        <v>R.S.S.</v>
      </c>
      <c r="G12" t="str">
        <f>_xlfn.CONCAT(F12,"_",CVs_Cargill[[#This Row],[Código]])</f>
        <v>R.S.S._2899779</v>
      </c>
      <c r="H12" t="str">
        <f t="shared" si="0"/>
        <v>C:\Processos\CiaTalentos\Cargill\RPA_MudarNomePdf\Input\arquivo_original\RAFAELISOUZASILVA_2899779.pdf</v>
      </c>
      <c r="I12" t="str">
        <f t="shared" si="1"/>
        <v>C:\Processos\CiaTalentos\Cargill\RPA_MudarNomePdf\Output\arquivo_modificado\R.S.S._2899779.pdf</v>
      </c>
    </row>
    <row r="13" spans="1:9" x14ac:dyDescent="0.25">
      <c r="A13" s="7" t="s">
        <v>26</v>
      </c>
      <c r="B13">
        <v>3362730</v>
      </c>
      <c r="C13" t="str">
        <f>VLOOKUP(CVs_Cargill[[#This Row],[Código]],[1]Agendas!$A:$B,2,0)</f>
        <v xml:space="preserve">Thierlaine dos Santos Nery </v>
      </c>
      <c r="D13" t="str">
        <f>UPPER(CVs_Cargill[[#This Row],[Nome completo normal]])</f>
        <v xml:space="preserve">THIERLAINE DOS SANTOS NERY </v>
      </c>
      <c r="E13" t="str">
        <f>acento(CVs_Cargill[[#This Row],[Nome completo maiusculo]])</f>
        <v xml:space="preserve">THIERLAINE DOS SANTOS NERY </v>
      </c>
      <c r="F13" t="str" cm="1">
        <f t="array" ref="F13">FirstCharacters(CVs_Cargill[[#This Row],[Nome completo sem acento]])</f>
        <v>T.D.S.N.</v>
      </c>
      <c r="G13" t="str">
        <f>_xlfn.CONCAT(F13,"_",CVs_Cargill[[#This Row],[Código]])</f>
        <v>T.D.S.N._3362730</v>
      </c>
      <c r="H13" t="str">
        <f t="shared" si="0"/>
        <v>C:\Processos\CiaTalentos\Cargill\RPA_MudarNomePdf\Input\arquivo_original\ThierlaineDosSantosNery_3362730.pdf</v>
      </c>
      <c r="I13" t="str">
        <f t="shared" si="1"/>
        <v>C:\Processos\CiaTalentos\Cargill\RPA_MudarNomePdf\Output\arquivo_modificado\T.D.S.N._3362730.pdf</v>
      </c>
    </row>
  </sheetData>
  <autoFilter ref="A1:A13" xr:uid="{33454C05-EDA2-4994-B12E-85842AB38451}"/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32B86CBA299545B3AD8BD5E84D20BA" ma:contentTypeVersion="21" ma:contentTypeDescription="Crie um novo documento." ma:contentTypeScope="" ma:versionID="76e79004d0ce3a9f7bc7cd73635c756b">
  <xsd:schema xmlns:xsd="http://www.w3.org/2001/XMLSchema" xmlns:xs="http://www.w3.org/2001/XMLSchema" xmlns:p="http://schemas.microsoft.com/office/2006/metadata/properties" xmlns:ns2="42e0ad70-08e4-4aa5-a63b-f1765cc8c615" xmlns:ns3="63b412f5-e0e2-4a88-8c3f-df6ad6998c08" targetNamespace="http://schemas.microsoft.com/office/2006/metadata/properties" ma:root="true" ma:fieldsID="3f9d6891a44eabbf2aede4a9bee4008a" ns2:_="" ns3:_="">
    <xsd:import namespace="42e0ad70-08e4-4aa5-a63b-f1765cc8c615"/>
    <xsd:import namespace="63b412f5-e0e2-4a88-8c3f-df6ad6998c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LengthInSeconds" minOccurs="0"/>
                <xsd:element ref="ns3:TaxCatchAll" minOccurs="0"/>
                <xsd:element ref="ns2:Data" minOccurs="0"/>
                <xsd:element ref="ns2:Modificadoem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e0ad70-08e4-4aa5-a63b-f1765cc8c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Estado da aprovação" ma:internalName="Estado_x0020_da_x0020_aprova_x00e7__x00e3_o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Data" ma:index="24" nillable="true" ma:displayName="Data" ma:format="DateOnly" ma:internalName="Data">
      <xsd:simpleType>
        <xsd:restriction base="dms:DateTime"/>
      </xsd:simpleType>
    </xsd:element>
    <xsd:element name="Modificadoem" ma:index="25" nillable="true" ma:displayName="Modificado em" ma:format="DateOnly" ma:internalName="Modificadoem">
      <xsd:simpleType>
        <xsd:restriction base="dms:DateTime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b412f5-e0e2-4a88-8c3f-df6ad6998c0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128dec41-0815-41fe-8ff6-f6db5a42a30f}" ma:internalName="TaxCatchAll" ma:showField="CatchAllData" ma:web="63b412f5-e0e2-4a88-8c3f-df6ad6998c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 xmlns="42e0ad70-08e4-4aa5-a63b-f1765cc8c615" xsi:nil="true"/>
    <_Flow_SignoffStatus xmlns="42e0ad70-08e4-4aa5-a63b-f1765cc8c615" xsi:nil="true"/>
    <TaxCatchAll xmlns="63b412f5-e0e2-4a88-8c3f-df6ad6998c08" xsi:nil="true"/>
    <Modificadoem xmlns="42e0ad70-08e4-4aa5-a63b-f1765cc8c615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1474D4FD-4D12-40C0-918B-211200A561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e0ad70-08e4-4aa5-a63b-f1765cc8c615"/>
    <ds:schemaRef ds:uri="63b412f5-e0e2-4a88-8c3f-df6ad6998c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D30FE0-264D-49FF-A7ED-B524423182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C7B3C88-47E0-4379-B97E-C6B49F8FD931}">
  <ds:schemaRefs>
    <ds:schemaRef ds:uri="http://schemas.microsoft.com/office/2006/metadata/properties"/>
    <ds:schemaRef ds:uri="http://schemas.microsoft.com/office/infopath/2007/PartnerControls"/>
    <ds:schemaRef ds:uri="42e0ad70-08e4-4aa5-a63b-f1765cc8c615"/>
    <ds:schemaRef ds:uri="63b412f5-e0e2-4a88-8c3f-df6ad6998c08"/>
  </ds:schemaRefs>
</ds:datastoreItem>
</file>

<file path=customXml/itemProps4.xml><?xml version="1.0" encoding="utf-8"?>
<ds:datastoreItem xmlns:ds="http://schemas.openxmlformats.org/officeDocument/2006/customXml" ds:itemID="{F570BCBC-5117-4451-AD10-8A3541B8C4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arquivo_original (3)</vt:lpstr>
      <vt:lpstr>CVs Cargill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Leandro Bicker de Castro</dc:creator>
  <cp:keywords/>
  <dc:description/>
  <cp:lastModifiedBy>Guilherme Martins</cp:lastModifiedBy>
  <cp:revision/>
  <dcterms:created xsi:type="dcterms:W3CDTF">2023-04-28T18:24:42Z</dcterms:created>
  <dcterms:modified xsi:type="dcterms:W3CDTF">2024-09-16T13:03:41Z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0x0101009732B86CBA299545B3AD8BD5E84D20BA</vt:lpwstr>
  </property>
</Properties>
</file>