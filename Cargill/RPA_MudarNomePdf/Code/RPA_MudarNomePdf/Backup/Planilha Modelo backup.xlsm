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iPath\Muda nome PDF\Mudar_nome_pdf_RPA\"/>
    </mc:Choice>
  </mc:AlternateContent>
  <xr:revisionPtr revIDLastSave="0" documentId="13_ncr:1_{0F39C162-B4AD-457F-B557-DB759203E062}" xr6:coauthVersionLast="47" xr6:coauthVersionMax="47" xr10:uidLastSave="{00000000-0000-0000-0000-000000000000}"/>
  <bookViews>
    <workbookView xWindow="-108" yWindow="-108" windowWidth="23256" windowHeight="12456" xr2:uid="{A8A313AB-71C6-4115-9C0F-FDE97457A45A}"/>
  </bookViews>
  <sheets>
    <sheet name="CVs Cargill" sheetId="2" r:id="rId1"/>
    <sheet name="Planilha1" sheetId="5" r:id="rId2"/>
  </sheets>
  <functionGroups builtInGroupCount="19"/>
  <externalReferences>
    <externalReference r:id="rId3"/>
  </externalReferences>
  <definedNames>
    <definedName name="DadosExternos_1" localSheetId="0" hidden="1">'CVs Cargill'!$B$1:$B$49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H2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E7" i="2" a="1"/>
  <c r="E27" i="2" a="1"/>
  <c r="E39" i="2" a="1"/>
  <c r="E47" i="2" a="1"/>
  <c r="E32" i="2" a="1"/>
  <c r="E44" i="2" a="1"/>
  <c r="E41" i="2" a="1"/>
  <c r="E6" i="2" a="1"/>
  <c r="E22" i="2" a="1"/>
  <c r="E38" i="2" a="1"/>
  <c r="E3" i="2" a="1"/>
  <c r="E11" i="2" a="1"/>
  <c r="E15" i="2" a="1"/>
  <c r="E19" i="2" a="1"/>
  <c r="E23" i="2" a="1"/>
  <c r="E31" i="2" a="1"/>
  <c r="E35" i="2" a="1"/>
  <c r="E43" i="2" a="1"/>
  <c r="E28" i="2" a="1"/>
  <c r="E40" i="2" a="1"/>
  <c r="E45" i="2" a="1"/>
  <c r="E14" i="2" a="1"/>
  <c r="E18" i="2" a="1"/>
  <c r="E34" i="2" a="1"/>
  <c r="E4" i="2" a="1"/>
  <c r="E8" i="2" a="1"/>
  <c r="E12" i="2" a="1"/>
  <c r="E16" i="2" a="1"/>
  <c r="E20" i="2" a="1"/>
  <c r="E24" i="2" a="1"/>
  <c r="E36" i="2" a="1"/>
  <c r="E48" i="2" a="1"/>
  <c r="E37" i="2" a="1"/>
  <c r="E2" i="2" a="1"/>
  <c r="E26" i="2" a="1"/>
  <c r="E42" i="2" a="1"/>
  <c r="E5" i="2" a="1"/>
  <c r="E9" i="2" a="1"/>
  <c r="E13" i="2" a="1"/>
  <c r="E17" i="2" a="1"/>
  <c r="E21" i="2" a="1"/>
  <c r="E25" i="2" a="1"/>
  <c r="E29" i="2" a="1"/>
  <c r="E33" i="2" a="1"/>
  <c r="E49" i="2" a="1"/>
  <c r="E10" i="2" a="1"/>
  <c r="E30" i="2" a="1"/>
  <c r="E46" i="2" a="1"/>
  <c r="E46" i="2" l="1"/>
  <c r="E30" i="2"/>
  <c r="E10" i="2"/>
  <c r="E49" i="2"/>
  <c r="E33" i="2"/>
  <c r="E29" i="2"/>
  <c r="E25" i="2"/>
  <c r="E21" i="2"/>
  <c r="E17" i="2"/>
  <c r="E13" i="2"/>
  <c r="E9" i="2"/>
  <c r="E5" i="2"/>
  <c r="E42" i="2"/>
  <c r="E26" i="2"/>
  <c r="E2" i="2"/>
  <c r="E37" i="2"/>
  <c r="E48" i="2"/>
  <c r="E36" i="2"/>
  <c r="E24" i="2"/>
  <c r="E20" i="2"/>
  <c r="E16" i="2"/>
  <c r="E12" i="2"/>
  <c r="E8" i="2"/>
  <c r="E4" i="2"/>
  <c r="E34" i="2"/>
  <c r="E18" i="2"/>
  <c r="E14" i="2"/>
  <c r="E45" i="2"/>
  <c r="E40" i="2"/>
  <c r="E28" i="2"/>
  <c r="E43" i="2"/>
  <c r="E35" i="2"/>
  <c r="E31" i="2"/>
  <c r="E23" i="2"/>
  <c r="E19" i="2"/>
  <c r="E15" i="2"/>
  <c r="E11" i="2"/>
  <c r="E3" i="2"/>
  <c r="E38" i="2"/>
  <c r="E22" i="2"/>
  <c r="E6" i="2"/>
  <c r="E41" i="2"/>
  <c r="E44" i="2"/>
  <c r="E32" i="2"/>
  <c r="E47" i="2"/>
  <c r="E39" i="2"/>
  <c r="E27" i="2"/>
  <c r="E7" i="2"/>
  <c r="F40" i="2" a="1"/>
  <c r="F2" i="2" a="1"/>
  <c r="F49" i="2" a="1"/>
  <c r="F24" i="2" a="1"/>
  <c r="F49" i="2" l="1"/>
  <c r="G49" i="2" s="1"/>
  <c r="I49" i="2" s="1"/>
  <c r="F2" i="2"/>
  <c r="F40" i="2"/>
  <c r="G40" i="2" s="1"/>
  <c r="I40" i="2" s="1"/>
  <c r="F24" i="2"/>
  <c r="G24" i="2" s="1"/>
  <c r="I24" i="2" s="1"/>
  <c r="F8" i="2" a="1"/>
  <c r="F8" i="2" l="1"/>
  <c r="G8" i="2" s="1"/>
  <c r="I8" i="2" s="1"/>
  <c r="F37" i="2" a="1"/>
  <c r="F37" i="2" l="1"/>
  <c r="G37" i="2" s="1"/>
  <c r="I37" i="2" s="1"/>
  <c r="F21" i="2" a="1"/>
  <c r="F21" i="2" l="1"/>
  <c r="G21" i="2" s="1"/>
  <c r="I21" i="2" s="1"/>
  <c r="F4" i="2" a="1"/>
  <c r="F4" i="2" l="1"/>
  <c r="G4" i="2" s="1"/>
  <c r="I4" i="2" s="1"/>
  <c r="F5" i="2" a="1"/>
  <c r="F5" i="2" l="1"/>
  <c r="G5" i="2" s="1"/>
  <c r="I5" i="2" s="1"/>
  <c r="F38" i="2" a="1"/>
  <c r="F38" i="2" l="1"/>
  <c r="G38" i="2" s="1"/>
  <c r="I38" i="2" s="1"/>
  <c r="F22" i="2" a="1"/>
  <c r="F22" i="2" l="1"/>
  <c r="G22" i="2" s="1"/>
  <c r="I22" i="2" s="1"/>
  <c r="F6" i="2" a="1"/>
  <c r="F6" i="2" l="1"/>
  <c r="G6" i="2" s="1"/>
  <c r="I6" i="2" s="1"/>
  <c r="F35" i="2" a="1"/>
  <c r="F35" i="2" l="1"/>
  <c r="G35" i="2" s="1"/>
  <c r="I35" i="2" s="1"/>
  <c r="F19" i="2" a="1"/>
  <c r="F19" i="2" l="1"/>
  <c r="G19" i="2" s="1"/>
  <c r="I19" i="2" s="1"/>
  <c r="F36" i="2" a="1"/>
  <c r="F36" i="2" l="1"/>
  <c r="G36" i="2" s="1"/>
  <c r="I36" i="2" s="1"/>
  <c r="F20" i="2" a="1"/>
  <c r="F20" i="2" l="1"/>
  <c r="G20" i="2" s="1"/>
  <c r="I20" i="2" s="1"/>
  <c r="F3" i="2" a="1"/>
  <c r="F3" i="2" l="1"/>
  <c r="G3" i="2" s="1"/>
  <c r="I3" i="2" s="1"/>
  <c r="G2" i="2" l="1"/>
  <c r="I2" i="2" s="1"/>
  <c r="F33" i="2" a="1"/>
  <c r="F33" i="2" l="1"/>
  <c r="G33" i="2" s="1"/>
  <c r="I33" i="2" s="1"/>
  <c r="F17" i="2" a="1"/>
  <c r="F17" i="2" l="1"/>
  <c r="G17" i="2" s="1"/>
  <c r="I17" i="2" s="1"/>
  <c r="F30" i="2" a="1"/>
  <c r="F30" i="2" l="1"/>
  <c r="G30" i="2" s="1"/>
  <c r="I30" i="2" s="1"/>
  <c r="F43" i="2" a="1"/>
  <c r="F43" i="2" l="1"/>
  <c r="G43" i="2" s="1"/>
  <c r="I43" i="2" s="1"/>
  <c r="F11" i="2" a="1"/>
  <c r="F11" i="2" l="1"/>
  <c r="G11" i="2" s="1"/>
  <c r="I11" i="2" s="1"/>
  <c r="F28" i="2" a="1"/>
  <c r="F28" i="2" l="1"/>
  <c r="G28" i="2" s="1"/>
  <c r="I28" i="2" s="1"/>
  <c r="F41" i="2" a="1"/>
  <c r="F41" i="2" l="1"/>
  <c r="G41" i="2" s="1"/>
  <c r="I41" i="2" s="1"/>
  <c r="F9" i="2" a="1"/>
  <c r="F9" i="2" l="1"/>
  <c r="G9" i="2" s="1"/>
  <c r="I9" i="2" s="1"/>
  <c r="F42" i="2" a="1"/>
  <c r="F42" i="2" l="1"/>
  <c r="G42" i="2" s="1"/>
  <c r="I42" i="2" s="1"/>
  <c r="F39" i="2" a="1"/>
  <c r="F39" i="2" l="1"/>
  <c r="G39" i="2" s="1"/>
  <c r="I39" i="2" s="1"/>
  <c r="F7" i="2" a="1"/>
  <c r="F7" i="2" l="1"/>
  <c r="G7" i="2" s="1"/>
  <c r="I7" i="2" s="1"/>
  <c r="F34" i="2" a="1"/>
  <c r="F34" i="2" l="1"/>
  <c r="G34" i="2" s="1"/>
  <c r="I34" i="2" s="1"/>
  <c r="F18" i="2" a="1"/>
  <c r="F18" i="2" l="1"/>
  <c r="G18" i="2" s="1"/>
  <c r="I18" i="2" s="1"/>
  <c r="F47" i="2" a="1"/>
  <c r="F47" i="2" l="1"/>
  <c r="G47" i="2" s="1"/>
  <c r="I47" i="2" s="1"/>
  <c r="F31" i="2" a="1"/>
  <c r="F31" i="2" l="1"/>
  <c r="G31" i="2" s="1"/>
  <c r="I31" i="2" s="1"/>
  <c r="F15" i="2" a="1"/>
  <c r="F15" i="2" l="1"/>
  <c r="G15" i="2" s="1"/>
  <c r="I15" i="2" s="1"/>
  <c r="F48" i="2" a="1"/>
  <c r="F48" i="2" l="1"/>
  <c r="G48" i="2" s="1"/>
  <c r="I48" i="2" s="1"/>
  <c r="F32" i="2" a="1"/>
  <c r="F32" i="2" l="1"/>
  <c r="G32" i="2" s="1"/>
  <c r="I32" i="2" s="1"/>
  <c r="F16" i="2" a="1"/>
  <c r="F16" i="2" l="1"/>
  <c r="G16" i="2" s="1"/>
  <c r="I16" i="2" s="1"/>
  <c r="F45" i="2" a="1"/>
  <c r="F45" i="2" l="1"/>
  <c r="G45" i="2" s="1"/>
  <c r="I45" i="2" s="1"/>
  <c r="F29" i="2" a="1"/>
  <c r="F29" i="2" l="1"/>
  <c r="G29" i="2" s="1"/>
  <c r="I29" i="2" s="1"/>
  <c r="F13" i="2" a="1"/>
  <c r="F13" i="2" l="1"/>
  <c r="G13" i="2" s="1"/>
  <c r="I13" i="2" s="1"/>
  <c r="F46" i="2" a="1"/>
  <c r="F46" i="2" l="1"/>
  <c r="G46" i="2" s="1"/>
  <c r="I46" i="2" s="1"/>
  <c r="F14" i="2" a="1"/>
  <c r="F14" i="2" l="1"/>
  <c r="G14" i="2" s="1"/>
  <c r="I14" i="2" s="1"/>
  <c r="F27" i="2" a="1"/>
  <c r="F27" i="2" l="1"/>
  <c r="G27" i="2" s="1"/>
  <c r="I27" i="2" s="1"/>
  <c r="F44" i="2" a="1"/>
  <c r="F44" i="2" l="1"/>
  <c r="G44" i="2" s="1"/>
  <c r="I44" i="2" s="1"/>
  <c r="F12" i="2" a="1"/>
  <c r="F12" i="2" l="1"/>
  <c r="G12" i="2" s="1"/>
  <c r="I12" i="2" s="1"/>
  <c r="F25" i="2" a="1"/>
  <c r="F25" i="2" l="1"/>
  <c r="G25" i="2" s="1"/>
  <c r="I25" i="2" s="1"/>
  <c r="F26" i="2" a="1"/>
  <c r="F26" i="2" l="1"/>
  <c r="G26" i="2" s="1"/>
  <c r="I26" i="2" s="1"/>
  <c r="F10" i="2" a="1"/>
  <c r="F10" i="2" l="1"/>
  <c r="G10" i="2" s="1"/>
  <c r="I10" i="2" s="1"/>
  <c r="F23" i="2" a="1"/>
  <c r="F23" i="2" l="1"/>
  <c r="G23" i="2" s="1"/>
  <c r="I2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1CD29A-DE71-4441-94EA-ABF4476997C5}" keepAlive="1" name="Consulta - arquivo_original" description="Conexão com a consulta 'arquivo_original' na pasta de trabalho." type="5" refreshedVersion="0" background="1">
    <dbPr connection="Provider=Microsoft.Mashup.OleDb.1;Data Source=$Workbook$;Location=arquivo_original;Extended Properties=&quot;&quot;" command="SELECT * FROM [arquivo_original]"/>
  </connection>
  <connection id="2" xr16:uid="{CC8EEAFD-86B3-42CD-B2D6-A73C11FDBF13}" keepAlive="1" name="Consulta - CVs Cargill" description="Conexão com a consulta 'CVs Cargill' na pasta de trabalho." type="5" refreshedVersion="8" background="1" saveData="1">
    <dbPr connection="Provider=Microsoft.Mashup.OleDb.1;Data Source=$Workbook$;Location=&quot;CVs Cargill&quot;;Extended Properties=&quot;&quot;" command="SELECT * FROM [CVs Cargill]"/>
  </connection>
  <connection id="3" xr16:uid="{D7FAC296-F849-4D5D-A37D-44B6E70879D2}" keepAlive="1" name="Consulta - CVs Cargill (2)" description="Conexão com a consulta 'CVs Cargill (2)' na pasta de trabalho." type="5" refreshedVersion="0" background="1">
    <dbPr connection="Provider=Microsoft.Mashup.OleDb.1;Data Source=$Workbook$;Location=&quot;CVs Cargill (2)&quot;;Extended Properties=&quot;&quot;" command="SELECT * FROM [CVs Cargill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<sst xmlns="http://schemas.openxmlformats.org/spreadsheetml/2006/main" count="57" uniqueCount="57">
  <si>
    <t>Nome arquivo</t>
  </si>
  <si>
    <t>Coluna2</t>
  </si>
  <si>
    <t>Letras iniciais</t>
  </si>
  <si>
    <t>Nome do arquivo final</t>
  </si>
  <si>
    <t>Nome Antigo</t>
  </si>
  <si>
    <t>Nome Novo</t>
  </si>
  <si>
    <t>Nome completo normal</t>
  </si>
  <si>
    <t>Nome completo maiusculo</t>
  </si>
  <si>
    <t>Nome completo sem acento</t>
  </si>
  <si>
    <t>AnaBeatrizFerreiraLopes_40165185.pdf</t>
  </si>
  <si>
    <t>AnaCarolinaLealPflanzer_2861739.pdf</t>
  </si>
  <si>
    <t>BeatrizDeSouzaPaixao_3005323.pdf</t>
  </si>
  <si>
    <t>BeatrizGarciaZiliotto_3086928.pdf</t>
  </si>
  <si>
    <t>CaioDeOliveiraVergne_40039863.pdf</t>
  </si>
  <si>
    <t>DiogoNogaraNunes_40343055.pdf</t>
  </si>
  <si>
    <t>EniaCarolina_40228173.pdf</t>
  </si>
  <si>
    <t>EvilySenaDeCastro_3735210.pdf</t>
  </si>
  <si>
    <t>FabricioButtiSantosDeOliveira_40331886.pdf</t>
  </si>
  <si>
    <t>FilipeOliveiraBarbosa_3632254.pdf</t>
  </si>
  <si>
    <t>GabrielaCavalcanteNeves_3141629.pdf</t>
  </si>
  <si>
    <t>GustavoGaeta_40376910.pdf</t>
  </si>
  <si>
    <t>HerrisonNascimentoDeJesusBarros_3199566.pdf</t>
  </si>
  <si>
    <t>HewertonCarrijoIzaias_2351279.pdf</t>
  </si>
  <si>
    <t>IgorAlvesDaSilva_40276641.pdf</t>
  </si>
  <si>
    <t>IgorSouzaArgoloDeLima_40043192.pdf</t>
  </si>
  <si>
    <t>IngrydRibeiroDeSouza_3096815.pdf</t>
  </si>
  <si>
    <t>IsabelaCeciliaRodriguesSouza_2788220.pdf</t>
  </si>
  <si>
    <t>JeffersonJoaquimSantosDaSilva_40352058.pdf</t>
  </si>
  <si>
    <t>JoaoVitorSilvaDeOliveiraCarneiro_3300981.pdf</t>
  </si>
  <si>
    <t>JosielEliasNevesDaConceicao_3874422.pdf</t>
  </si>
  <si>
    <t>JuliaMariaPeixeSantesso_40362782.pdf</t>
  </si>
  <si>
    <t>LucasLopesRiosDaSilva_40089373.pdf</t>
  </si>
  <si>
    <t>LucianoNagibAndriaCarvalho_40311117.pdf</t>
  </si>
  <si>
    <t>LuizaCardosoStumm_40376262.pdf</t>
  </si>
  <si>
    <t>LuizClaudioRalileSilvaTorres_3107197.pdf</t>
  </si>
  <si>
    <t>MAIRAMARIAOLIVEIRARODRIGUES_3082019.pdf</t>
  </si>
  <si>
    <t>MarcosDanielSilvaDeJesus_40348882.pdf</t>
  </si>
  <si>
    <t>MateusSilvaBarreto_3108262.pdf</t>
  </si>
  <si>
    <t>MatheusHenriqueFelizardo_3044542.pdf</t>
  </si>
  <si>
    <t>MatheusJoseDeAssisBatista_40340188.pdf</t>
  </si>
  <si>
    <t>MaxwellJaques_40347292.pdf</t>
  </si>
  <si>
    <t>MichellyCarvalhoDaSilva_3827789.pdf</t>
  </si>
  <si>
    <t>MillenaRodriguesAlborghetti_3105696.pdf</t>
  </si>
  <si>
    <t>MYKAELJHONATANALVESFARIAS_3653820.pdf</t>
  </si>
  <si>
    <t>NayraGoncalvesBeirao_3603157.pdf</t>
  </si>
  <si>
    <t>OtavioHenriqueFerreira_40339741.pdf</t>
  </si>
  <si>
    <t>PolianaDeAlmeida_40137324.pdf</t>
  </si>
  <si>
    <t>RenataAguiarFigueiredo_40248327.pdf</t>
  </si>
  <si>
    <t>RIANEFERREIRADASILVA_40430003.pdf</t>
  </si>
  <si>
    <t>RivanissonGabrielGoncalvesDaSilvaSouza_40270558.pdf</t>
  </si>
  <si>
    <t>RodolfoMontalvao_3747509.pdf</t>
  </si>
  <si>
    <t>TALESDEARAUJOCRUZ_3654966.pdf</t>
  </si>
  <si>
    <t>TerciliaRibeiroLima_3414412.pdf</t>
  </si>
  <si>
    <t>ThaianeKarineGuerlinguer_40346851.pdf</t>
  </si>
  <si>
    <t>ThiagoMartinsSouzaCoelho_3445070.pdf</t>
  </si>
  <si>
    <t>VictorLujanPiresMartinsMarcelino_40261050.pdf</t>
  </si>
  <si>
    <t>WalderJuniorDoCarmoGomes_3254138.pdf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</si>
</sst>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49" fontId="3" fillId="2" borderId="0" xfId="0" applyNumberFormat="1" applyFont="1" applyFill="1"/>
    <xf numFmtId="0" fontId="5" fillId="2" borderId="0" xfId="0" applyFont="1" applyFill="1" applyAlignment="1">
      <alignment horizontal="center"/>
    </xf>
    <xf numFmtId="0" fontId="3" fillId="4" borderId="0" xfId="0" applyFont="1" applyFill="1"/>
    <xf numFmtId="0" fontId="0" fillId="0" borderId="0" xfId="0" applyNumberFormat="1"/>
    <xf numFmtId="0" fontId="0" fillId="3" borderId="2" xfId="0" applyNumberFormat="1" applyFont="1" applyFill="1" applyBorder="1"/>
    <xf numFmtId="0" fontId="0" fillId="0" borderId="2" xfId="0" applyNumberFormat="1" applyFont="1" applyBorder="1"/>
    <xf numFmtId="0" fontId="1" fillId="5" borderId="1" xfId="0" applyFont="1" applyFill="1" applyBorder="1"/>
  </cellXfs>
  <cellStyles count="2">
    <cellStyle name="Normal" xfId="0" builtinId="0"/>
    <cellStyle name="Normal 2" xfId="1" xr:uid="{BB210CD6-584B-4115-8575-11613241AE05}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iPath\Muda%20nome%20PDF\Mudar_nome_pdf_RPA\Renomear%20cvs,%20mover%20para%20as%20pastas%20correspondentes%2027.06.xlsx" TargetMode="External"/><Relationship Id="rId1" Type="http://schemas.openxmlformats.org/officeDocument/2006/relationships/externalLinkPath" Target="Renomear%20cvs,%20mover%20para%20as%20pastas%20correspondentes%2027.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gendas"/>
      <sheetName val="Horários originais "/>
    </sheetNames>
    <sheetDataSet>
      <sheetData sheetId="0">
        <row r="1">
          <cell r="A1" t="str">
            <v>Código</v>
          </cell>
          <cell r="B1" t="str">
            <v>Nome do Candidato</v>
          </cell>
        </row>
        <row r="2">
          <cell r="A2">
            <v>3086928</v>
          </cell>
          <cell r="B2" t="str">
            <v>Beatriz Garcia Ziliotto</v>
          </cell>
        </row>
        <row r="3">
          <cell r="A3">
            <v>40248327</v>
          </cell>
          <cell r="B3" t="str">
            <v xml:space="preserve">Renata Aguiar Figueiredo </v>
          </cell>
        </row>
        <row r="4">
          <cell r="A4">
            <v>2351279</v>
          </cell>
          <cell r="B4" t="str">
            <v>Hewerton Carrijo Izaias</v>
          </cell>
        </row>
        <row r="5">
          <cell r="A5">
            <v>2861739</v>
          </cell>
          <cell r="B5" t="str">
            <v>Ana Carolina leal Pflanzer</v>
          </cell>
        </row>
        <row r="6">
          <cell r="A6">
            <v>2788220</v>
          </cell>
          <cell r="B6" t="str">
            <v>Isabela Cecília Rodrigues Souza</v>
          </cell>
        </row>
        <row r="7">
          <cell r="A7">
            <v>40376262</v>
          </cell>
          <cell r="B7" t="str">
            <v>Luiza Cardoso Stumm</v>
          </cell>
        </row>
        <row r="8">
          <cell r="A8">
            <v>3747509</v>
          </cell>
          <cell r="B8" t="str">
            <v>Rodolfo Montalvão</v>
          </cell>
        </row>
        <row r="9">
          <cell r="A9">
            <v>3653820</v>
          </cell>
          <cell r="B9" t="str">
            <v>MYKAEL JHONATAN ALVES FARIAS</v>
          </cell>
        </row>
        <row r="10">
          <cell r="A10">
            <v>40339741</v>
          </cell>
          <cell r="B10" t="str">
            <v>Otávio Henrique Ferreira</v>
          </cell>
        </row>
        <row r="11">
          <cell r="A11">
            <v>40261050</v>
          </cell>
          <cell r="B11" t="str">
            <v>Victor Lujan Pires Martins Marcelino</v>
          </cell>
        </row>
        <row r="12">
          <cell r="A12">
            <v>40343055</v>
          </cell>
          <cell r="B12" t="str">
            <v>Diogo Nogara Nunes</v>
          </cell>
        </row>
        <row r="13">
          <cell r="A13">
            <v>3105696</v>
          </cell>
          <cell r="B13" t="str">
            <v>Millena Rodrigues Alborghetti</v>
          </cell>
        </row>
        <row r="14">
          <cell r="A14">
            <v>3445070</v>
          </cell>
          <cell r="B14" t="str">
            <v>Thiago Martins Souza Coelho</v>
          </cell>
        </row>
        <row r="15">
          <cell r="A15">
            <v>40228173</v>
          </cell>
          <cell r="B15" t="str">
            <v xml:space="preserve">Enia Carolina </v>
          </cell>
        </row>
        <row r="16">
          <cell r="A16">
            <v>3827789</v>
          </cell>
          <cell r="B16" t="str">
            <v xml:space="preserve">Michelly Carvalho da Silva  </v>
          </cell>
        </row>
        <row r="17">
          <cell r="A17">
            <v>40362782</v>
          </cell>
          <cell r="B17" t="str">
            <v>Julia Maria Peixe Santesso</v>
          </cell>
        </row>
        <row r="18">
          <cell r="A18">
            <v>3044542</v>
          </cell>
          <cell r="B18" t="str">
            <v>Matheus Henrique Felizardo</v>
          </cell>
        </row>
        <row r="19">
          <cell r="A19">
            <v>3654966</v>
          </cell>
          <cell r="B19" t="str">
            <v>TALES DE ARAUJO CRUZ</v>
          </cell>
        </row>
        <row r="20">
          <cell r="A20">
            <v>3632254</v>
          </cell>
          <cell r="B20" t="str">
            <v>Filipe Oliveira Barbosa</v>
          </cell>
        </row>
        <row r="21">
          <cell r="A21">
            <v>3414412</v>
          </cell>
          <cell r="B21" t="str">
            <v>Tercilia Ribeiro Lima</v>
          </cell>
        </row>
        <row r="22">
          <cell r="A22">
            <v>3603157</v>
          </cell>
          <cell r="B22" t="str">
            <v>Náyra Gonçalves Beirão</v>
          </cell>
        </row>
        <row r="23">
          <cell r="A23">
            <v>3107197</v>
          </cell>
          <cell r="B23" t="str">
            <v>Luiz Claudio Ralile Silva Torres</v>
          </cell>
        </row>
        <row r="24">
          <cell r="A24">
            <v>3199566</v>
          </cell>
          <cell r="B24" t="str">
            <v>Herrison Nascimento de Jesus Barros</v>
          </cell>
        </row>
        <row r="25">
          <cell r="A25">
            <v>3735210</v>
          </cell>
          <cell r="B25" t="str">
            <v>evily sena de castro</v>
          </cell>
        </row>
        <row r="26">
          <cell r="A26">
            <v>40346851</v>
          </cell>
          <cell r="B26" t="str">
            <v>Thaiane Karine Guerlinguer</v>
          </cell>
        </row>
        <row r="27">
          <cell r="A27">
            <v>3874422</v>
          </cell>
          <cell r="B27" t="str">
            <v>josiel elias neves da conceição</v>
          </cell>
        </row>
        <row r="28">
          <cell r="A28">
            <v>3254138</v>
          </cell>
          <cell r="B28" t="str">
            <v>Walder Junior do Carmo Gomes</v>
          </cell>
        </row>
        <row r="29">
          <cell r="A29">
            <v>3005323</v>
          </cell>
          <cell r="B29" t="str">
            <v>Beatriz de Souza Paixão</v>
          </cell>
        </row>
        <row r="30">
          <cell r="A30">
            <v>40137324</v>
          </cell>
          <cell r="B30" t="str">
            <v>Poliana de Almeida</v>
          </cell>
        </row>
        <row r="31">
          <cell r="A31">
            <v>3096815</v>
          </cell>
          <cell r="B31" t="str">
            <v>Ingryd Ribeiro de  Souza</v>
          </cell>
        </row>
        <row r="32">
          <cell r="A32">
            <v>40331886</v>
          </cell>
          <cell r="B32" t="str">
            <v>Fabricio Butti Santos de Oliveira</v>
          </cell>
        </row>
        <row r="33">
          <cell r="A33">
            <v>40270558</v>
          </cell>
          <cell r="B33" t="str">
            <v>Rivanisson Gabriel Gonçalves da Silva Souza</v>
          </cell>
        </row>
        <row r="34">
          <cell r="A34">
            <v>40311117</v>
          </cell>
          <cell r="B34" t="str">
            <v>Luciano Nagib Andria Carvalho</v>
          </cell>
        </row>
        <row r="35">
          <cell r="A35">
            <v>40089373</v>
          </cell>
          <cell r="B35" t="str">
            <v>Lucas Lopes Rios da Silva</v>
          </cell>
        </row>
        <row r="36">
          <cell r="A36">
            <v>3108262</v>
          </cell>
          <cell r="B36" t="str">
            <v>Mateus Silva Barreto</v>
          </cell>
        </row>
        <row r="37">
          <cell r="A37">
            <v>3082019</v>
          </cell>
          <cell r="B37" t="str">
            <v>MAIRA MARIA OLIVEIRA RODRIGUES</v>
          </cell>
        </row>
        <row r="38">
          <cell r="A38">
            <v>40276641</v>
          </cell>
          <cell r="B38" t="str">
            <v xml:space="preserve">Igor Alves da Silva </v>
          </cell>
        </row>
        <row r="39">
          <cell r="A39">
            <v>40165185</v>
          </cell>
          <cell r="B39" t="str">
            <v>Ana Beatriz Ferreira Lopes</v>
          </cell>
        </row>
        <row r="40">
          <cell r="A40">
            <v>40039863</v>
          </cell>
          <cell r="B40" t="str">
            <v xml:space="preserve">Caio de Oliveira Vergne </v>
          </cell>
        </row>
        <row r="41">
          <cell r="A41">
            <v>3141629</v>
          </cell>
          <cell r="B41" t="str">
            <v>Gabriela Cavalcante Neves</v>
          </cell>
        </row>
        <row r="42">
          <cell r="A42">
            <v>40352058</v>
          </cell>
          <cell r="B42" t="str">
            <v>Jefferson Joaquim Santos da Silva</v>
          </cell>
        </row>
        <row r="43">
          <cell r="A43">
            <v>40347292</v>
          </cell>
          <cell r="B43" t="str">
            <v>Maxwell Jaques</v>
          </cell>
        </row>
        <row r="44">
          <cell r="A44">
            <v>40348882</v>
          </cell>
          <cell r="B44" t="str">
            <v>marcos daniel silva de jesus</v>
          </cell>
        </row>
        <row r="45">
          <cell r="A45">
            <v>3300981</v>
          </cell>
          <cell r="B45" t="str">
            <v>João Vitor Silva de Oliveira Carneiro</v>
          </cell>
        </row>
        <row r="46">
          <cell r="A46">
            <v>40043192</v>
          </cell>
          <cell r="B46" t="str">
            <v>Igor Souza Argolo de Lima</v>
          </cell>
        </row>
        <row r="47">
          <cell r="A47">
            <v>40376910</v>
          </cell>
          <cell r="B47" t="str">
            <v>Gustavo Gaeta</v>
          </cell>
        </row>
        <row r="48">
          <cell r="A48">
            <v>40340188</v>
          </cell>
          <cell r="B48" t="str">
            <v>Matheus José de Assis Batista</v>
          </cell>
        </row>
        <row r="49">
          <cell r="A49">
            <v>40430003</v>
          </cell>
          <cell r="B49" t="str">
            <v>RIANE FERREIRA DA SILVA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BA358C53-7BA6-42D3-946B-F2FDDD051622}" autoFormatId="16" applyNumberFormats="0" applyBorderFormats="0" applyFontFormats="0" applyPatternFormats="0" applyAlignmentFormats="0" applyWidthHeightFormats="0">
  <queryTableRefresh nextId="18" unboundColumnsRight="5">
    <queryTableFields count="6">
      <queryTableField id="1" name="Name" tableColumnId="1"/>
      <queryTableField id="7" dataBound="0" tableColumnId="7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  <queryTableDeletedFields count="5">
      <deletedField name="Extension"/>
      <deletedField name="Date accessed"/>
      <deletedField name="Date modified"/>
      <deletedField name="Date created"/>
      <deletedField name="Folder Path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E77E1B-BB92-4504-9FFC-5E6E84B1A0E5}" name="CVs_Cargill" displayName="CVs_Cargill" ref="B1:G49" tableType="queryTable" totalsRowShown="0">
  <autoFilter ref="B1:G49" xr:uid="{20E77E1B-BB92-4504-9FFC-5E6E84B1A0E5}"/>
  <tableColumns count="6">
    <tableColumn id="1" xr3:uid="{4D6F6BE5-008D-4125-9012-117EA14EEDE8}" uniqueName="1" name="Coluna2" queryTableFieldId="1" dataDxfId="3" totalsRowDxfId="10"/>
    <tableColumn id="7" xr3:uid="{27EB627C-CC46-4F43-8AAE-ABBF89B691CE}" uniqueName="7" name="Nome completo normal" queryTableFieldId="7" dataDxfId="2" totalsRowDxfId="9">
      <calculatedColumnFormula>VLOOKUP(CVs_Cargill[[#This Row],[Coluna2]],[1]Agendas!$A:$B,2,0)</calculatedColumnFormula>
    </tableColumn>
    <tableColumn id="9" xr3:uid="{E6232980-DA3A-4F3C-8971-529355D051FE}" uniqueName="9" name="Nome completo maiusculo" queryTableFieldId="9" dataDxfId="1" totalsRowDxfId="8">
      <calculatedColumnFormula>UPPER(CVs_Cargill[[#This Row],[Nome completo normal]])</calculatedColumnFormula>
    </tableColumn>
    <tableColumn id="10" xr3:uid="{85F1832F-9D2D-4EE9-BEBF-130BBC6B973A}" uniqueName="10" name="Nome completo sem acento" queryTableFieldId="10" dataDxfId="0">
      <calculatedColumnFormula array="1">acento(CVs_Cargill[[#This Row],[Nome completo maiusculo]])</calculatedColumnFormula>
    </tableColumn>
    <tableColumn id="11" xr3:uid="{3B2C1EC5-81ED-4359-B629-7228AA300E0F}" uniqueName="11" name="Letras iniciais" queryTableFieldId="11" dataDxfId="7" totalsRowDxfId="6">
      <calculatedColumnFormula array="1">FirstCharacters(CVs_Cargill[[#This Row],[Nome completo sem acento]])</calculatedColumnFormula>
    </tableColumn>
    <tableColumn id="12" xr3:uid="{12FC098B-011B-4795-B665-38B0CB3BB133}" uniqueName="12" name="Nome do arquivo final" queryTableFieldId="12" dataDxfId="5" totalsRowDxfId="4">
      <calculatedColumnFormula>_xlfn.CONCAT(F2,"_",CVs_Cargill[[#This Row],[Coluna2]])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54C05-EDA2-4994-B12E-85842AB38451}">
  <sheetPr codeName="Planilha1"/>
  <dimension ref="A1:I56"/>
  <sheetViews>
    <sheetView tabSelected="1" topLeftCell="G1" zoomScale="90" zoomScaleNormal="90" workbookViewId="0">
      <selection activeCell="B16" sqref="B16"/>
    </sheetView>
  </sheetViews>
  <sheetFormatPr defaultRowHeight="14.4" x14ac:dyDescent="0.3"/>
  <cols>
    <col min="1" max="1" width="64.88671875" customWidth="1"/>
    <col min="2" max="2" width="25.6640625" customWidth="1"/>
    <col min="3" max="3" width="39.44140625" bestFit="1" customWidth="1"/>
    <col min="4" max="4" width="45.88671875" bestFit="1" customWidth="1"/>
    <col min="5" max="5" width="48" bestFit="1" customWidth="1"/>
    <col min="6" max="6" width="45.33203125" bestFit="1" customWidth="1"/>
    <col min="7" max="7" width="23.109375" bestFit="1" customWidth="1"/>
    <col min="8" max="8" width="85" bestFit="1" customWidth="1"/>
    <col min="9" max="9" width="68.21875" bestFit="1" customWidth="1"/>
  </cols>
  <sheetData>
    <row r="1" spans="1:9" x14ac:dyDescent="0.3">
      <c r="A1" s="7" t="s">
        <v>0</v>
      </c>
      <c r="B1" s="1" t="s">
        <v>1</v>
      </c>
      <c r="C1" t="s">
        <v>6</v>
      </c>
      <c r="D1" t="s">
        <v>7</v>
      </c>
      <c r="E1" t="s">
        <v>8</v>
      </c>
      <c r="F1" t="s">
        <v>2</v>
      </c>
      <c r="G1" s="3" t="s">
        <v>3</v>
      </c>
      <c r="H1" s="2" t="s">
        <v>4</v>
      </c>
      <c r="I1" s="2" t="s">
        <v>5</v>
      </c>
    </row>
    <row r="2" spans="1:9" x14ac:dyDescent="0.3">
      <c r="A2" s="5" t="s">
        <v>9</v>
      </c>
      <c r="B2" s="4">
        <v>40165185</v>
      </c>
      <c r="C2" t="str">
        <f>VLOOKUP(CVs_Cargill[[#This Row],[Coluna2]],[1]Agendas!$A:$B,2,0)</f>
        <v>Ana Beatriz Ferreira Lopes</v>
      </c>
      <c r="D2" t="str">
        <f>UPPER(CVs_Cargill[[#This Row],[Nome completo normal]])</f>
        <v>ANA BEATRIZ FERREIRA LOPES</v>
      </c>
      <c r="E2" t="str" cm="1">
        <f t="array" ref="E2">acento(CVs_Cargill[[#This Row],[Nome completo maiusculo]])</f>
        <v>ANA BEATRIZ FERREIRA LOPES</v>
      </c>
      <c r="F2" t="str" cm="1">
        <f t="array" ref="F2">FirstCharacters(CVs_Cargill[[#This Row],[Nome completo sem acento]])</f>
        <v>A.B.F.L.</v>
      </c>
      <c r="G2" t="str">
        <f>_xlfn.CONCAT(F2,"_",CVs_Cargill[[#This Row],[Coluna2]])</f>
        <v>A.B.F.L._40165185</v>
      </c>
      <c r="H2" t="str">
        <f>"C:\UiPath\Muda nome PDF\arquivo_original\"&amp;A2&amp;""</f>
        <v>C:\UiPath\Muda nome PDF\arquivo_original\AnaBeatrizFerreiraLopes_40165185.pdf</v>
      </c>
      <c r="I2" t="str">
        <f t="shared" ref="I2:I56" si="0">"C:\UiPath\Muda nome PDF\arquivo_modificado\"&amp;G2&amp;".pdf"</f>
        <v>C:\UiPath\Muda nome PDF\arquivo_modificado\A.B.F.L._40165185.pdf</v>
      </c>
    </row>
    <row r="3" spans="1:9" x14ac:dyDescent="0.3">
      <c r="A3" s="6" t="s">
        <v>10</v>
      </c>
      <c r="B3" s="4">
        <v>2861739</v>
      </c>
      <c r="C3" t="str">
        <f>VLOOKUP(CVs_Cargill[[#This Row],[Coluna2]],[1]Agendas!$A:$B,2,0)</f>
        <v>Ana Carolina leal Pflanzer</v>
      </c>
      <c r="D3" t="str">
        <f>UPPER(CVs_Cargill[[#This Row],[Nome completo normal]])</f>
        <v>ANA CAROLINA LEAL PFLANZER</v>
      </c>
      <c r="E3" t="str" cm="1">
        <f t="array" ref="E3">acento(CVs_Cargill[[#This Row],[Nome completo maiusculo]])</f>
        <v>ANA CAROLINA LEAL PFLANZER</v>
      </c>
      <c r="F3" t="str" cm="1">
        <f t="array" ref="F3">FirstCharacters(CVs_Cargill[[#This Row],[Nome completo sem acento]])</f>
        <v>A.C.L.P.</v>
      </c>
      <c r="G3" t="str">
        <f>_xlfn.CONCAT(F3,"_",CVs_Cargill[[#This Row],[Coluna2]])</f>
        <v>A.C.L.P._2861739</v>
      </c>
      <c r="H3" t="str">
        <f t="shared" ref="H2:H56" si="1">"C:\UiPath\Muda nome PDF\arquivo_original\"&amp;A3&amp;""</f>
        <v>C:\UiPath\Muda nome PDF\arquivo_original\AnaCarolinaLealPflanzer_2861739.pdf</v>
      </c>
      <c r="I3" t="str">
        <f t="shared" si="0"/>
        <v>C:\UiPath\Muda nome PDF\arquivo_modificado\A.C.L.P._2861739.pdf</v>
      </c>
    </row>
    <row r="4" spans="1:9" x14ac:dyDescent="0.3">
      <c r="A4" s="5" t="s">
        <v>11</v>
      </c>
      <c r="B4" s="4">
        <v>3005323</v>
      </c>
      <c r="C4" t="str">
        <f>VLOOKUP(CVs_Cargill[[#This Row],[Coluna2]],[1]Agendas!$A:$B,2,0)</f>
        <v>Beatriz de Souza Paixão</v>
      </c>
      <c r="D4" t="str">
        <f>UPPER(CVs_Cargill[[#This Row],[Nome completo normal]])</f>
        <v>BEATRIZ DE SOUZA PAIXÃO</v>
      </c>
      <c r="E4" t="str" cm="1">
        <f t="array" ref="E4">acento(CVs_Cargill[[#This Row],[Nome completo maiusculo]])</f>
        <v>BEATRIZ DE SOUZA PAIXAO</v>
      </c>
      <c r="F4" t="str" cm="1">
        <f t="array" ref="F4">FirstCharacters(CVs_Cargill[[#This Row],[Nome completo sem acento]])</f>
        <v>B.D.S.P.</v>
      </c>
      <c r="G4" t="str">
        <f>_xlfn.CONCAT(F4,"_",CVs_Cargill[[#This Row],[Coluna2]])</f>
        <v>B.D.S.P._3005323</v>
      </c>
      <c r="H4" t="str">
        <f t="shared" si="1"/>
        <v>C:\UiPath\Muda nome PDF\arquivo_original\BeatrizDeSouzaPaixao_3005323.pdf</v>
      </c>
      <c r="I4" t="str">
        <f t="shared" si="0"/>
        <v>C:\UiPath\Muda nome PDF\arquivo_modificado\B.D.S.P._3005323.pdf</v>
      </c>
    </row>
    <row r="5" spans="1:9" x14ac:dyDescent="0.3">
      <c r="A5" s="6" t="s">
        <v>12</v>
      </c>
      <c r="B5" s="4">
        <v>3086928</v>
      </c>
      <c r="C5" t="str">
        <f>VLOOKUP(CVs_Cargill[[#This Row],[Coluna2]],[1]Agendas!$A:$B,2,0)</f>
        <v>Beatriz Garcia Ziliotto</v>
      </c>
      <c r="D5" t="str">
        <f>UPPER(CVs_Cargill[[#This Row],[Nome completo normal]])</f>
        <v>BEATRIZ GARCIA ZILIOTTO</v>
      </c>
      <c r="E5" t="str" cm="1">
        <f t="array" ref="E5">acento(CVs_Cargill[[#This Row],[Nome completo maiusculo]])</f>
        <v>BEATRIZ GARCIA ZILIOTTO</v>
      </c>
      <c r="F5" t="str" cm="1">
        <f t="array" ref="F5">FirstCharacters(CVs_Cargill[[#This Row],[Nome completo sem acento]])</f>
        <v>B.G.Z.</v>
      </c>
      <c r="G5" t="str">
        <f>_xlfn.CONCAT(F5,"_",CVs_Cargill[[#This Row],[Coluna2]])</f>
        <v>B.G.Z._3086928</v>
      </c>
      <c r="H5" t="str">
        <f t="shared" si="1"/>
        <v>C:\UiPath\Muda nome PDF\arquivo_original\BeatrizGarciaZiliotto_3086928.pdf</v>
      </c>
      <c r="I5" t="str">
        <f t="shared" si="0"/>
        <v>C:\UiPath\Muda nome PDF\arquivo_modificado\B.G.Z._3086928.pdf</v>
      </c>
    </row>
    <row r="6" spans="1:9" x14ac:dyDescent="0.3">
      <c r="A6" s="5" t="s">
        <v>13</v>
      </c>
      <c r="B6" s="4">
        <v>40039863</v>
      </c>
      <c r="C6" t="str">
        <f>VLOOKUP(CVs_Cargill[[#This Row],[Coluna2]],[1]Agendas!$A:$B,2,0)</f>
        <v xml:space="preserve">Caio de Oliveira Vergne </v>
      </c>
      <c r="D6" t="str">
        <f>UPPER(CVs_Cargill[[#This Row],[Nome completo normal]])</f>
        <v xml:space="preserve">CAIO DE OLIVEIRA VERGNE </v>
      </c>
      <c r="E6" t="str" cm="1">
        <f t="array" ref="E6">acento(CVs_Cargill[[#This Row],[Nome completo maiusculo]])</f>
        <v xml:space="preserve">CAIO DE OLIVEIRA VERGNE </v>
      </c>
      <c r="F6" t="str" cm="1">
        <f t="array" ref="F6">FirstCharacters(CVs_Cargill[[#This Row],[Nome completo sem acento]])</f>
        <v>C.D.O.V.</v>
      </c>
      <c r="G6" t="str">
        <f>_xlfn.CONCAT(F6,"_",CVs_Cargill[[#This Row],[Coluna2]])</f>
        <v>C.D.O.V._40039863</v>
      </c>
      <c r="H6" t="str">
        <f t="shared" si="1"/>
        <v>C:\UiPath\Muda nome PDF\arquivo_original\CaioDeOliveiraVergne_40039863.pdf</v>
      </c>
      <c r="I6" t="str">
        <f t="shared" si="0"/>
        <v>C:\UiPath\Muda nome PDF\arquivo_modificado\C.D.O.V._40039863.pdf</v>
      </c>
    </row>
    <row r="7" spans="1:9" x14ac:dyDescent="0.3">
      <c r="A7" s="6" t="s">
        <v>14</v>
      </c>
      <c r="B7" s="4">
        <v>40343055</v>
      </c>
      <c r="C7" t="str">
        <f>VLOOKUP(CVs_Cargill[[#This Row],[Coluna2]],[1]Agendas!$A:$B,2,0)</f>
        <v>Diogo Nogara Nunes</v>
      </c>
      <c r="D7" t="str">
        <f>UPPER(CVs_Cargill[[#This Row],[Nome completo normal]])</f>
        <v>DIOGO NOGARA NUNES</v>
      </c>
      <c r="E7" t="str" cm="1">
        <f t="array" ref="E7">acento(CVs_Cargill[[#This Row],[Nome completo maiusculo]])</f>
        <v>DIOGO NOGARA NUNES</v>
      </c>
      <c r="F7" t="str" cm="1">
        <f t="array" ref="F7">FirstCharacters(CVs_Cargill[[#This Row],[Nome completo sem acento]])</f>
        <v>D.N.N.</v>
      </c>
      <c r="G7" t="str">
        <f>_xlfn.CONCAT(F7,"_",CVs_Cargill[[#This Row],[Coluna2]])</f>
        <v>D.N.N._40343055</v>
      </c>
      <c r="H7" t="str">
        <f t="shared" si="1"/>
        <v>C:\UiPath\Muda nome PDF\arquivo_original\DiogoNogaraNunes_40343055.pdf</v>
      </c>
      <c r="I7" t="str">
        <f t="shared" si="0"/>
        <v>C:\UiPath\Muda nome PDF\arquivo_modificado\D.N.N._40343055.pdf</v>
      </c>
    </row>
    <row r="8" spans="1:9" x14ac:dyDescent="0.3">
      <c r="A8" s="5" t="s">
        <v>15</v>
      </c>
      <c r="B8" s="4">
        <v>40228173</v>
      </c>
      <c r="C8" t="str">
        <f>VLOOKUP(CVs_Cargill[[#This Row],[Coluna2]],[1]Agendas!$A:$B,2,0)</f>
        <v xml:space="preserve">Enia Carolina </v>
      </c>
      <c r="D8" t="str">
        <f>UPPER(CVs_Cargill[[#This Row],[Nome completo normal]])</f>
        <v xml:space="preserve">ENIA CAROLINA </v>
      </c>
      <c r="E8" t="str" cm="1">
        <f t="array" ref="E8">acento(CVs_Cargill[[#This Row],[Nome completo maiusculo]])</f>
        <v xml:space="preserve">ENIA CAROLINA </v>
      </c>
      <c r="F8" t="str" cm="1">
        <f t="array" ref="F8">FirstCharacters(CVs_Cargill[[#This Row],[Nome completo sem acento]])</f>
        <v>E.C.</v>
      </c>
      <c r="G8" t="str">
        <f>_xlfn.CONCAT(F8,"_",CVs_Cargill[[#This Row],[Coluna2]])</f>
        <v>E.C._40228173</v>
      </c>
      <c r="H8" t="str">
        <f t="shared" si="1"/>
        <v>C:\UiPath\Muda nome PDF\arquivo_original\EniaCarolina_40228173.pdf</v>
      </c>
      <c r="I8" t="str">
        <f t="shared" si="0"/>
        <v>C:\UiPath\Muda nome PDF\arquivo_modificado\E.C._40228173.pdf</v>
      </c>
    </row>
    <row r="9" spans="1:9" x14ac:dyDescent="0.3">
      <c r="A9" s="6" t="s">
        <v>16</v>
      </c>
      <c r="B9" s="4">
        <v>3735210</v>
      </c>
      <c r="C9" t="str">
        <f>VLOOKUP(CVs_Cargill[[#This Row],[Coluna2]],[1]Agendas!$A:$B,2,0)</f>
        <v>evily sena de castro</v>
      </c>
      <c r="D9" t="str">
        <f>UPPER(CVs_Cargill[[#This Row],[Nome completo normal]])</f>
        <v>EVILY SENA DE CASTRO</v>
      </c>
      <c r="E9" t="str" cm="1">
        <f t="array" ref="E9">acento(CVs_Cargill[[#This Row],[Nome completo maiusculo]])</f>
        <v>EVILY SENA DE CASTRO</v>
      </c>
      <c r="F9" t="str" cm="1">
        <f t="array" ref="F9">FirstCharacters(CVs_Cargill[[#This Row],[Nome completo sem acento]])</f>
        <v>E.S.D.C.</v>
      </c>
      <c r="G9" t="str">
        <f>_xlfn.CONCAT(F9,"_",CVs_Cargill[[#This Row],[Coluna2]])</f>
        <v>E.S.D.C._3735210</v>
      </c>
      <c r="H9" t="str">
        <f t="shared" si="1"/>
        <v>C:\UiPath\Muda nome PDF\arquivo_original\EvilySenaDeCastro_3735210.pdf</v>
      </c>
      <c r="I9" t="str">
        <f t="shared" si="0"/>
        <v>C:\UiPath\Muda nome PDF\arquivo_modificado\E.S.D.C._3735210.pdf</v>
      </c>
    </row>
    <row r="10" spans="1:9" x14ac:dyDescent="0.3">
      <c r="A10" s="5" t="s">
        <v>17</v>
      </c>
      <c r="B10" s="4">
        <v>40331886</v>
      </c>
      <c r="C10" t="str">
        <f>VLOOKUP(CVs_Cargill[[#This Row],[Coluna2]],[1]Agendas!$A:$B,2,0)</f>
        <v>Fabricio Butti Santos de Oliveira</v>
      </c>
      <c r="D10" t="str">
        <f>UPPER(CVs_Cargill[[#This Row],[Nome completo normal]])</f>
        <v>FABRICIO BUTTI SANTOS DE OLIVEIRA</v>
      </c>
      <c r="E10" t="str" cm="1">
        <f t="array" ref="E10">acento(CVs_Cargill[[#This Row],[Nome completo maiusculo]])</f>
        <v>FABRICIO BUTTI SANTOS DE OLIVEIRA</v>
      </c>
      <c r="F10" t="str" cm="1">
        <f t="array" ref="F10">FirstCharacters(CVs_Cargill[[#This Row],[Nome completo sem acento]])</f>
        <v>F.B.S.D.O.</v>
      </c>
      <c r="G10" t="str">
        <f>_xlfn.CONCAT(F10,"_",CVs_Cargill[[#This Row],[Coluna2]])</f>
        <v>F.B.S.D.O._40331886</v>
      </c>
      <c r="H10" t="str">
        <f t="shared" si="1"/>
        <v>C:\UiPath\Muda nome PDF\arquivo_original\FabricioButtiSantosDeOliveira_40331886.pdf</v>
      </c>
      <c r="I10" t="str">
        <f t="shared" si="0"/>
        <v>C:\UiPath\Muda nome PDF\arquivo_modificado\F.B.S.D.O._40331886.pdf</v>
      </c>
    </row>
    <row r="11" spans="1:9" x14ac:dyDescent="0.3">
      <c r="A11" s="6" t="s">
        <v>18</v>
      </c>
      <c r="B11" s="4">
        <v>3632254</v>
      </c>
      <c r="C11" t="str">
        <f>VLOOKUP(CVs_Cargill[[#This Row],[Coluna2]],[1]Agendas!$A:$B,2,0)</f>
        <v>Filipe Oliveira Barbosa</v>
      </c>
      <c r="D11" t="str">
        <f>UPPER(CVs_Cargill[[#This Row],[Nome completo normal]])</f>
        <v>FILIPE OLIVEIRA BARBOSA</v>
      </c>
      <c r="E11" t="str" cm="1">
        <f t="array" ref="E11">acento(CVs_Cargill[[#This Row],[Nome completo maiusculo]])</f>
        <v>FILIPE OLIVEIRA BARBOSA</v>
      </c>
      <c r="F11" t="str" cm="1">
        <f t="array" ref="F11">FirstCharacters(CVs_Cargill[[#This Row],[Nome completo sem acento]])</f>
        <v>F.O.B.</v>
      </c>
      <c r="G11" t="str">
        <f>_xlfn.CONCAT(F11,"_",CVs_Cargill[[#This Row],[Coluna2]])</f>
        <v>F.O.B._3632254</v>
      </c>
      <c r="H11" t="str">
        <f t="shared" si="1"/>
        <v>C:\UiPath\Muda nome PDF\arquivo_original\FilipeOliveiraBarbosa_3632254.pdf</v>
      </c>
      <c r="I11" t="str">
        <f t="shared" si="0"/>
        <v>C:\UiPath\Muda nome PDF\arquivo_modificado\F.O.B._3632254.pdf</v>
      </c>
    </row>
    <row r="12" spans="1:9" x14ac:dyDescent="0.3">
      <c r="A12" s="5" t="s">
        <v>19</v>
      </c>
      <c r="B12" s="4">
        <v>3141629</v>
      </c>
      <c r="C12" t="str">
        <f>VLOOKUP(CVs_Cargill[[#This Row],[Coluna2]],[1]Agendas!$A:$B,2,0)</f>
        <v>Gabriela Cavalcante Neves</v>
      </c>
      <c r="D12" t="str">
        <f>UPPER(CVs_Cargill[[#This Row],[Nome completo normal]])</f>
        <v>GABRIELA CAVALCANTE NEVES</v>
      </c>
      <c r="E12" t="str" cm="1">
        <f t="array" ref="E12">acento(CVs_Cargill[[#This Row],[Nome completo maiusculo]])</f>
        <v>GABRIELA CAVALCANTE NEVES</v>
      </c>
      <c r="F12" t="str" cm="1">
        <f t="array" ref="F12">FirstCharacters(CVs_Cargill[[#This Row],[Nome completo sem acento]])</f>
        <v>G.C.N.</v>
      </c>
      <c r="G12" t="str">
        <f>_xlfn.CONCAT(F12,"_",CVs_Cargill[[#This Row],[Coluna2]])</f>
        <v>G.C.N._3141629</v>
      </c>
      <c r="H12" t="str">
        <f t="shared" si="1"/>
        <v>C:\UiPath\Muda nome PDF\arquivo_original\GabrielaCavalcanteNeves_3141629.pdf</v>
      </c>
      <c r="I12" t="str">
        <f t="shared" si="0"/>
        <v>C:\UiPath\Muda nome PDF\arquivo_modificado\G.C.N._3141629.pdf</v>
      </c>
    </row>
    <row r="13" spans="1:9" x14ac:dyDescent="0.3">
      <c r="A13" s="6" t="s">
        <v>20</v>
      </c>
      <c r="B13" s="4">
        <v>40376910</v>
      </c>
      <c r="C13" t="str">
        <f>VLOOKUP(CVs_Cargill[[#This Row],[Coluna2]],[1]Agendas!$A:$B,2,0)</f>
        <v>Gustavo Gaeta</v>
      </c>
      <c r="D13" t="str">
        <f>UPPER(CVs_Cargill[[#This Row],[Nome completo normal]])</f>
        <v>GUSTAVO GAETA</v>
      </c>
      <c r="E13" t="str" cm="1">
        <f t="array" ref="E13">acento(CVs_Cargill[[#This Row],[Nome completo maiusculo]])</f>
        <v>GUSTAVO GAETA</v>
      </c>
      <c r="F13" t="str" cm="1">
        <f t="array" ref="F13">FirstCharacters(CVs_Cargill[[#This Row],[Nome completo sem acento]])</f>
        <v>G.G.</v>
      </c>
      <c r="G13" t="str">
        <f>_xlfn.CONCAT(F13,"_",CVs_Cargill[[#This Row],[Coluna2]])</f>
        <v>G.G._40376910</v>
      </c>
      <c r="H13" t="str">
        <f t="shared" si="1"/>
        <v>C:\UiPath\Muda nome PDF\arquivo_original\GustavoGaeta_40376910.pdf</v>
      </c>
      <c r="I13" t="str">
        <f t="shared" si="0"/>
        <v>C:\UiPath\Muda nome PDF\arquivo_modificado\G.G._40376910.pdf</v>
      </c>
    </row>
    <row r="14" spans="1:9" x14ac:dyDescent="0.3">
      <c r="A14" s="5" t="s">
        <v>21</v>
      </c>
      <c r="B14" s="4">
        <v>3199566</v>
      </c>
      <c r="C14" t="str">
        <f>VLOOKUP(CVs_Cargill[[#This Row],[Coluna2]],[1]Agendas!$A:$B,2,0)</f>
        <v>Herrison Nascimento de Jesus Barros</v>
      </c>
      <c r="D14" t="str">
        <f>UPPER(CVs_Cargill[[#This Row],[Nome completo normal]])</f>
        <v>HERRISON NASCIMENTO DE JESUS BARROS</v>
      </c>
      <c r="E14" t="str" cm="1">
        <f t="array" ref="E14">acento(CVs_Cargill[[#This Row],[Nome completo maiusculo]])</f>
        <v>HERRISON NASCIMENTO DE JESUS BARROS</v>
      </c>
      <c r="F14" t="str" cm="1">
        <f t="array" ref="F14">FirstCharacters(CVs_Cargill[[#This Row],[Nome completo sem acento]])</f>
        <v>H.N.D.J.B.</v>
      </c>
      <c r="G14" t="str">
        <f>_xlfn.CONCAT(F14,"_",CVs_Cargill[[#This Row],[Coluna2]])</f>
        <v>H.N.D.J.B._3199566</v>
      </c>
      <c r="H14" t="str">
        <f t="shared" si="1"/>
        <v>C:\UiPath\Muda nome PDF\arquivo_original\HerrisonNascimentoDeJesusBarros_3199566.pdf</v>
      </c>
      <c r="I14" t="str">
        <f t="shared" si="0"/>
        <v>C:\UiPath\Muda nome PDF\arquivo_modificado\H.N.D.J.B._3199566.pdf</v>
      </c>
    </row>
    <row r="15" spans="1:9" x14ac:dyDescent="0.3">
      <c r="A15" s="6" t="s">
        <v>22</v>
      </c>
      <c r="B15" s="4">
        <v>2351279</v>
      </c>
      <c r="C15" t="str">
        <f>VLOOKUP(CVs_Cargill[[#This Row],[Coluna2]],[1]Agendas!$A:$B,2,0)</f>
        <v>Hewerton Carrijo Izaias</v>
      </c>
      <c r="D15" t="str">
        <f>UPPER(CVs_Cargill[[#This Row],[Nome completo normal]])</f>
        <v>HEWERTON CARRIJO IZAIAS</v>
      </c>
      <c r="E15" t="str" cm="1">
        <f t="array" ref="E15">acento(CVs_Cargill[[#This Row],[Nome completo maiusculo]])</f>
        <v>HEWERTON CARRIJO IZAIAS</v>
      </c>
      <c r="F15" t="str" cm="1">
        <f t="array" ref="F15">FirstCharacters(CVs_Cargill[[#This Row],[Nome completo sem acento]])</f>
        <v>H.C.I.</v>
      </c>
      <c r="G15" t="str">
        <f>_xlfn.CONCAT(F15,"_",CVs_Cargill[[#This Row],[Coluna2]])</f>
        <v>H.C.I._2351279</v>
      </c>
      <c r="H15" t="str">
        <f t="shared" si="1"/>
        <v>C:\UiPath\Muda nome PDF\arquivo_original\HewertonCarrijoIzaias_2351279.pdf</v>
      </c>
      <c r="I15" t="str">
        <f t="shared" si="0"/>
        <v>C:\UiPath\Muda nome PDF\arquivo_modificado\H.C.I._2351279.pdf</v>
      </c>
    </row>
    <row r="16" spans="1:9" x14ac:dyDescent="0.3">
      <c r="A16" s="5" t="s">
        <v>23</v>
      </c>
      <c r="B16" s="4">
        <v>40276641</v>
      </c>
      <c r="C16" t="str">
        <f>VLOOKUP(CVs_Cargill[[#This Row],[Coluna2]],[1]Agendas!$A:$B,2,0)</f>
        <v xml:space="preserve">Igor Alves da Silva </v>
      </c>
      <c r="D16" t="str">
        <f>UPPER(CVs_Cargill[[#This Row],[Nome completo normal]])</f>
        <v xml:space="preserve">IGOR ALVES DA SILVA </v>
      </c>
      <c r="E16" t="str" cm="1">
        <f t="array" ref="E16">acento(CVs_Cargill[[#This Row],[Nome completo maiusculo]])</f>
        <v xml:space="preserve">IGOR ALVES DA SILVA </v>
      </c>
      <c r="F16" t="str" cm="1">
        <f t="array" ref="F16">FirstCharacters(CVs_Cargill[[#This Row],[Nome completo sem acento]])</f>
        <v>I.A.D.S.</v>
      </c>
      <c r="G16" t="str">
        <f>_xlfn.CONCAT(F16,"_",CVs_Cargill[[#This Row],[Coluna2]])</f>
        <v>I.A.D.S._40276641</v>
      </c>
      <c r="H16" t="str">
        <f t="shared" si="1"/>
        <v>C:\UiPath\Muda nome PDF\arquivo_original\IgorAlvesDaSilva_40276641.pdf</v>
      </c>
      <c r="I16" t="str">
        <f t="shared" si="0"/>
        <v>C:\UiPath\Muda nome PDF\arquivo_modificado\I.A.D.S._40276641.pdf</v>
      </c>
    </row>
    <row r="17" spans="1:9" x14ac:dyDescent="0.3">
      <c r="A17" s="6" t="s">
        <v>24</v>
      </c>
      <c r="B17" s="4">
        <v>40043192</v>
      </c>
      <c r="C17" t="str">
        <f>VLOOKUP(CVs_Cargill[[#This Row],[Coluna2]],[1]Agendas!$A:$B,2,0)</f>
        <v>Igor Souza Argolo de Lima</v>
      </c>
      <c r="D17" t="str">
        <f>UPPER(CVs_Cargill[[#This Row],[Nome completo normal]])</f>
        <v>IGOR SOUZA ARGOLO DE LIMA</v>
      </c>
      <c r="E17" t="str" cm="1">
        <f t="array" ref="E17">acento(CVs_Cargill[[#This Row],[Nome completo maiusculo]])</f>
        <v>IGOR SOUZA ARGOLO DE LIMA</v>
      </c>
      <c r="F17" t="str" cm="1">
        <f t="array" ref="F17">FirstCharacters(CVs_Cargill[[#This Row],[Nome completo sem acento]])</f>
        <v>I.S.A.D.L.</v>
      </c>
      <c r="G17" t="str">
        <f>_xlfn.CONCAT(F17,"_",CVs_Cargill[[#This Row],[Coluna2]])</f>
        <v>I.S.A.D.L._40043192</v>
      </c>
      <c r="H17" t="str">
        <f t="shared" si="1"/>
        <v>C:\UiPath\Muda nome PDF\arquivo_original\IgorSouzaArgoloDeLima_40043192.pdf</v>
      </c>
      <c r="I17" t="str">
        <f t="shared" si="0"/>
        <v>C:\UiPath\Muda nome PDF\arquivo_modificado\I.S.A.D.L._40043192.pdf</v>
      </c>
    </row>
    <row r="18" spans="1:9" x14ac:dyDescent="0.3">
      <c r="A18" s="5" t="s">
        <v>25</v>
      </c>
      <c r="B18" s="4">
        <v>3096815</v>
      </c>
      <c r="C18" t="str">
        <f>VLOOKUP(CVs_Cargill[[#This Row],[Coluna2]],[1]Agendas!$A:$B,2,0)</f>
        <v>Ingryd Ribeiro de  Souza</v>
      </c>
      <c r="D18" t="str">
        <f>UPPER(CVs_Cargill[[#This Row],[Nome completo normal]])</f>
        <v>INGRYD RIBEIRO DE  SOUZA</v>
      </c>
      <c r="E18" t="str" cm="1">
        <f t="array" ref="E18">acento(CVs_Cargill[[#This Row],[Nome completo maiusculo]])</f>
        <v>INGRYD RIBEIRO DE  SOUZA</v>
      </c>
      <c r="F18" t="str" cm="1">
        <f t="array" ref="F18">FirstCharacters(CVs_Cargill[[#This Row],[Nome completo sem acento]])</f>
        <v>I.R.D..S.</v>
      </c>
      <c r="G18" t="str">
        <f>_xlfn.CONCAT(F18,"_",CVs_Cargill[[#This Row],[Coluna2]])</f>
        <v>I.R.D..S._3096815</v>
      </c>
      <c r="H18" t="str">
        <f t="shared" si="1"/>
        <v>C:\UiPath\Muda nome PDF\arquivo_original\IngrydRibeiroDeSouza_3096815.pdf</v>
      </c>
      <c r="I18" t="str">
        <f t="shared" si="0"/>
        <v>C:\UiPath\Muda nome PDF\arquivo_modificado\I.R.D..S._3096815.pdf</v>
      </c>
    </row>
    <row r="19" spans="1:9" x14ac:dyDescent="0.3">
      <c r="A19" s="6" t="s">
        <v>26</v>
      </c>
      <c r="B19" s="4">
        <v>2788220</v>
      </c>
      <c r="C19" t="str">
        <f>VLOOKUP(CVs_Cargill[[#This Row],[Coluna2]],[1]Agendas!$A:$B,2,0)</f>
        <v>Isabela Cecília Rodrigues Souza</v>
      </c>
      <c r="D19" t="str">
        <f>UPPER(CVs_Cargill[[#This Row],[Nome completo normal]])</f>
        <v>ISABELA CECÍLIA RODRIGUES SOUZA</v>
      </c>
      <c r="E19" t="str" cm="1">
        <f t="array" ref="E19">acento(CVs_Cargill[[#This Row],[Nome completo maiusculo]])</f>
        <v>ISABELA CECILIA RODRIGUES SOUZA</v>
      </c>
      <c r="F19" t="str" cm="1">
        <f t="array" ref="F19">FirstCharacters(CVs_Cargill[[#This Row],[Nome completo sem acento]])</f>
        <v>I.C.R.S.</v>
      </c>
      <c r="G19" t="str">
        <f>_xlfn.CONCAT(F19,"_",CVs_Cargill[[#This Row],[Coluna2]])</f>
        <v>I.C.R.S._2788220</v>
      </c>
      <c r="H19" t="str">
        <f t="shared" si="1"/>
        <v>C:\UiPath\Muda nome PDF\arquivo_original\IsabelaCeciliaRodriguesSouza_2788220.pdf</v>
      </c>
      <c r="I19" t="str">
        <f t="shared" si="0"/>
        <v>C:\UiPath\Muda nome PDF\arquivo_modificado\I.C.R.S._2788220.pdf</v>
      </c>
    </row>
    <row r="20" spans="1:9" x14ac:dyDescent="0.3">
      <c r="A20" s="5" t="s">
        <v>27</v>
      </c>
      <c r="B20" s="4">
        <v>40352058</v>
      </c>
      <c r="C20" t="str">
        <f>VLOOKUP(CVs_Cargill[[#This Row],[Coluna2]],[1]Agendas!$A:$B,2,0)</f>
        <v>Jefferson Joaquim Santos da Silva</v>
      </c>
      <c r="D20" t="str">
        <f>UPPER(CVs_Cargill[[#This Row],[Nome completo normal]])</f>
        <v>JEFFERSON JOAQUIM SANTOS DA SILVA</v>
      </c>
      <c r="E20" t="str" cm="1">
        <f t="array" ref="E20">acento(CVs_Cargill[[#This Row],[Nome completo maiusculo]])</f>
        <v>JEFFERSON JOAQUIM SANTOS DA SILVA</v>
      </c>
      <c r="F20" t="str" cm="1">
        <f t="array" ref="F20">FirstCharacters(CVs_Cargill[[#This Row],[Nome completo sem acento]])</f>
        <v>J.J.S.D.S.</v>
      </c>
      <c r="G20" t="str">
        <f>_xlfn.CONCAT(F20,"_",CVs_Cargill[[#This Row],[Coluna2]])</f>
        <v>J.J.S.D.S._40352058</v>
      </c>
      <c r="H20" t="str">
        <f t="shared" si="1"/>
        <v>C:\UiPath\Muda nome PDF\arquivo_original\JeffersonJoaquimSantosDaSilva_40352058.pdf</v>
      </c>
      <c r="I20" t="str">
        <f t="shared" si="0"/>
        <v>C:\UiPath\Muda nome PDF\arquivo_modificado\J.J.S.D.S._40352058.pdf</v>
      </c>
    </row>
    <row r="21" spans="1:9" x14ac:dyDescent="0.3">
      <c r="A21" s="6" t="s">
        <v>28</v>
      </c>
      <c r="B21" s="4">
        <v>3300981</v>
      </c>
      <c r="C21" t="str">
        <f>VLOOKUP(CVs_Cargill[[#This Row],[Coluna2]],[1]Agendas!$A:$B,2,0)</f>
        <v>João Vitor Silva de Oliveira Carneiro</v>
      </c>
      <c r="D21" t="str">
        <f>UPPER(CVs_Cargill[[#This Row],[Nome completo normal]])</f>
        <v>JOÃO VITOR SILVA DE OLIVEIRA CARNEIRO</v>
      </c>
      <c r="E21" t="str" cm="1">
        <f t="array" ref="E21">acento(CVs_Cargill[[#This Row],[Nome completo maiusculo]])</f>
        <v>JOAO VITOR SILVA DE OLIVEIRA CARNEIRO</v>
      </c>
      <c r="F21" t="str" cm="1">
        <f t="array" ref="F21">FirstCharacters(CVs_Cargill[[#This Row],[Nome completo sem acento]])</f>
        <v>J.V.S.D.O.C.</v>
      </c>
      <c r="G21" t="str">
        <f>_xlfn.CONCAT(F21,"_",CVs_Cargill[[#This Row],[Coluna2]])</f>
        <v>J.V.S.D.O.C._3300981</v>
      </c>
      <c r="H21" t="str">
        <f t="shared" si="1"/>
        <v>C:\UiPath\Muda nome PDF\arquivo_original\JoaoVitorSilvaDeOliveiraCarneiro_3300981.pdf</v>
      </c>
      <c r="I21" t="str">
        <f t="shared" si="0"/>
        <v>C:\UiPath\Muda nome PDF\arquivo_modificado\J.V.S.D.O.C._3300981.pdf</v>
      </c>
    </row>
    <row r="22" spans="1:9" x14ac:dyDescent="0.3">
      <c r="A22" s="5" t="s">
        <v>29</v>
      </c>
      <c r="B22" s="4">
        <v>3874422</v>
      </c>
      <c r="C22" t="str">
        <f>VLOOKUP(CVs_Cargill[[#This Row],[Coluna2]],[1]Agendas!$A:$B,2,0)</f>
        <v>josiel elias neves da conceição</v>
      </c>
      <c r="D22" t="str">
        <f>UPPER(CVs_Cargill[[#This Row],[Nome completo normal]])</f>
        <v>JOSIEL ELIAS NEVES DA CONCEIÇÃO</v>
      </c>
      <c r="E22" t="str" cm="1">
        <f t="array" ref="E22">acento(CVs_Cargill[[#This Row],[Nome completo maiusculo]])</f>
        <v>JOSIEL ELIAS NEVES DA CONCEICAO</v>
      </c>
      <c r="F22" t="str" cm="1">
        <f t="array" ref="F22">FirstCharacters(CVs_Cargill[[#This Row],[Nome completo sem acento]])</f>
        <v>J.E.N.D.C.</v>
      </c>
      <c r="G22" t="str">
        <f>_xlfn.CONCAT(F22,"_",CVs_Cargill[[#This Row],[Coluna2]])</f>
        <v>J.E.N.D.C._3874422</v>
      </c>
      <c r="H22" t="str">
        <f t="shared" si="1"/>
        <v>C:\UiPath\Muda nome PDF\arquivo_original\JosielEliasNevesDaConceicao_3874422.pdf</v>
      </c>
      <c r="I22" t="str">
        <f t="shared" si="0"/>
        <v>C:\UiPath\Muda nome PDF\arquivo_modificado\J.E.N.D.C._3874422.pdf</v>
      </c>
    </row>
    <row r="23" spans="1:9" x14ac:dyDescent="0.3">
      <c r="A23" s="6" t="s">
        <v>30</v>
      </c>
      <c r="B23" s="4">
        <v>40362782</v>
      </c>
      <c r="C23" t="str">
        <f>VLOOKUP(CVs_Cargill[[#This Row],[Coluna2]],[1]Agendas!$A:$B,2,0)</f>
        <v>Julia Maria Peixe Santesso</v>
      </c>
      <c r="D23" t="str">
        <f>UPPER(CVs_Cargill[[#This Row],[Nome completo normal]])</f>
        <v>JULIA MARIA PEIXE SANTESSO</v>
      </c>
      <c r="E23" t="str" cm="1">
        <f t="array" ref="E23">acento(CVs_Cargill[[#This Row],[Nome completo maiusculo]])</f>
        <v>JULIA MARIA PEIXE SANTESSO</v>
      </c>
      <c r="F23" t="str" cm="1">
        <f t="array" ref="F23">FirstCharacters(CVs_Cargill[[#This Row],[Nome completo sem acento]])</f>
        <v>J.M.P.S.</v>
      </c>
      <c r="G23" t="str">
        <f>_xlfn.CONCAT(F23,"_",CVs_Cargill[[#This Row],[Coluna2]])</f>
        <v>J.M.P.S._40362782</v>
      </c>
      <c r="H23" t="str">
        <f t="shared" si="1"/>
        <v>C:\UiPath\Muda nome PDF\arquivo_original\JuliaMariaPeixeSantesso_40362782.pdf</v>
      </c>
      <c r="I23" t="str">
        <f t="shared" si="0"/>
        <v>C:\UiPath\Muda nome PDF\arquivo_modificado\J.M.P.S._40362782.pdf</v>
      </c>
    </row>
    <row r="24" spans="1:9" x14ac:dyDescent="0.3">
      <c r="A24" s="5" t="s">
        <v>31</v>
      </c>
      <c r="B24" s="4">
        <v>40089373</v>
      </c>
      <c r="C24" t="str">
        <f>VLOOKUP(CVs_Cargill[[#This Row],[Coluna2]],[1]Agendas!$A:$B,2,0)</f>
        <v>Lucas Lopes Rios da Silva</v>
      </c>
      <c r="D24" t="str">
        <f>UPPER(CVs_Cargill[[#This Row],[Nome completo normal]])</f>
        <v>LUCAS LOPES RIOS DA SILVA</v>
      </c>
      <c r="E24" t="str" cm="1">
        <f t="array" ref="E24">acento(CVs_Cargill[[#This Row],[Nome completo maiusculo]])</f>
        <v>LUCAS LOPES RIOS DA SILVA</v>
      </c>
      <c r="F24" t="str" cm="1">
        <f t="array" ref="F24">FirstCharacters(CVs_Cargill[[#This Row],[Nome completo sem acento]])</f>
        <v>L.L.R.D.S.</v>
      </c>
      <c r="G24" t="str">
        <f>_xlfn.CONCAT(F24,"_",CVs_Cargill[[#This Row],[Coluna2]])</f>
        <v>L.L.R.D.S._40089373</v>
      </c>
      <c r="H24" t="str">
        <f t="shared" si="1"/>
        <v>C:\UiPath\Muda nome PDF\arquivo_original\LucasLopesRiosDaSilva_40089373.pdf</v>
      </c>
      <c r="I24" t="str">
        <f t="shared" si="0"/>
        <v>C:\UiPath\Muda nome PDF\arquivo_modificado\L.L.R.D.S._40089373.pdf</v>
      </c>
    </row>
    <row r="25" spans="1:9" x14ac:dyDescent="0.3">
      <c r="A25" s="6" t="s">
        <v>32</v>
      </c>
      <c r="B25" s="4">
        <v>40311117</v>
      </c>
      <c r="C25" t="str">
        <f>VLOOKUP(CVs_Cargill[[#This Row],[Coluna2]],[1]Agendas!$A:$B,2,0)</f>
        <v>Luciano Nagib Andria Carvalho</v>
      </c>
      <c r="D25" t="str">
        <f>UPPER(CVs_Cargill[[#This Row],[Nome completo normal]])</f>
        <v>LUCIANO NAGIB ANDRIA CARVALHO</v>
      </c>
      <c r="E25" t="str" cm="1">
        <f t="array" ref="E25">acento(CVs_Cargill[[#This Row],[Nome completo maiusculo]])</f>
        <v>LUCIANO NAGIB ANDRIA CARVALHO</v>
      </c>
      <c r="F25" t="str" cm="1">
        <f t="array" ref="F25">FirstCharacters(CVs_Cargill[[#This Row],[Nome completo sem acento]])</f>
        <v>L.N.A.C.</v>
      </c>
      <c r="G25" t="str">
        <f>_xlfn.CONCAT(F25,"_",CVs_Cargill[[#This Row],[Coluna2]])</f>
        <v>L.N.A.C._40311117</v>
      </c>
      <c r="H25" t="str">
        <f t="shared" si="1"/>
        <v>C:\UiPath\Muda nome PDF\arquivo_original\LucianoNagibAndriaCarvalho_40311117.pdf</v>
      </c>
      <c r="I25" t="str">
        <f t="shared" si="0"/>
        <v>C:\UiPath\Muda nome PDF\arquivo_modificado\L.N.A.C._40311117.pdf</v>
      </c>
    </row>
    <row r="26" spans="1:9" x14ac:dyDescent="0.3">
      <c r="A26" s="5" t="s">
        <v>33</v>
      </c>
      <c r="B26" s="4">
        <v>40376262</v>
      </c>
      <c r="C26" t="str">
        <f>VLOOKUP(CVs_Cargill[[#This Row],[Coluna2]],[1]Agendas!$A:$B,2,0)</f>
        <v>Luiza Cardoso Stumm</v>
      </c>
      <c r="D26" t="str">
        <f>UPPER(CVs_Cargill[[#This Row],[Nome completo normal]])</f>
        <v>LUIZA CARDOSO STUMM</v>
      </c>
      <c r="E26" t="str" cm="1">
        <f t="array" ref="E26">acento(CVs_Cargill[[#This Row],[Nome completo maiusculo]])</f>
        <v>LUIZA CARDOSO STUMM</v>
      </c>
      <c r="F26" t="str" cm="1">
        <f t="array" ref="F26">FirstCharacters(CVs_Cargill[[#This Row],[Nome completo sem acento]])</f>
        <v>L.C.S.</v>
      </c>
      <c r="G26" t="str">
        <f>_xlfn.CONCAT(F26,"_",CVs_Cargill[[#This Row],[Coluna2]])</f>
        <v>L.C.S._40376262</v>
      </c>
      <c r="H26" t="str">
        <f t="shared" si="1"/>
        <v>C:\UiPath\Muda nome PDF\arquivo_original\LuizaCardosoStumm_40376262.pdf</v>
      </c>
      <c r="I26" t="str">
        <f t="shared" si="0"/>
        <v>C:\UiPath\Muda nome PDF\arquivo_modificado\L.C.S._40376262.pdf</v>
      </c>
    </row>
    <row r="27" spans="1:9" x14ac:dyDescent="0.3">
      <c r="A27" s="6" t="s">
        <v>34</v>
      </c>
      <c r="B27" s="4">
        <v>3107197</v>
      </c>
      <c r="C27" t="str">
        <f>VLOOKUP(CVs_Cargill[[#This Row],[Coluna2]],[1]Agendas!$A:$B,2,0)</f>
        <v>Luiz Claudio Ralile Silva Torres</v>
      </c>
      <c r="D27" t="str">
        <f>UPPER(CVs_Cargill[[#This Row],[Nome completo normal]])</f>
        <v>LUIZ CLAUDIO RALILE SILVA TORRES</v>
      </c>
      <c r="E27" t="str" cm="1">
        <f t="array" ref="E27">acento(CVs_Cargill[[#This Row],[Nome completo maiusculo]])</f>
        <v>LUIZ CLAUDIO RALILE SILVA TORRES</v>
      </c>
      <c r="F27" t="str" cm="1">
        <f t="array" ref="F27">FirstCharacters(CVs_Cargill[[#This Row],[Nome completo sem acento]])</f>
        <v>L.C.R.S.T.</v>
      </c>
      <c r="G27" t="str">
        <f>_xlfn.CONCAT(F27,"_",CVs_Cargill[[#This Row],[Coluna2]])</f>
        <v>L.C.R.S.T._3107197</v>
      </c>
      <c r="H27" t="str">
        <f t="shared" si="1"/>
        <v>C:\UiPath\Muda nome PDF\arquivo_original\LuizClaudioRalileSilvaTorres_3107197.pdf</v>
      </c>
      <c r="I27" t="str">
        <f t="shared" si="0"/>
        <v>C:\UiPath\Muda nome PDF\arquivo_modificado\L.C.R.S.T._3107197.pdf</v>
      </c>
    </row>
    <row r="28" spans="1:9" x14ac:dyDescent="0.3">
      <c r="A28" s="5" t="s">
        <v>35</v>
      </c>
      <c r="B28" s="4">
        <v>3082019</v>
      </c>
      <c r="C28" t="str">
        <f>VLOOKUP(CVs_Cargill[[#This Row],[Coluna2]],[1]Agendas!$A:$B,2,0)</f>
        <v>MAIRA MARIA OLIVEIRA RODRIGUES</v>
      </c>
      <c r="D28" t="str">
        <f>UPPER(CVs_Cargill[[#This Row],[Nome completo normal]])</f>
        <v>MAIRA MARIA OLIVEIRA RODRIGUES</v>
      </c>
      <c r="E28" t="str" cm="1">
        <f t="array" ref="E28">acento(CVs_Cargill[[#This Row],[Nome completo maiusculo]])</f>
        <v>MAIRA MARIA OLIVEIRA RODRIGUES</v>
      </c>
      <c r="F28" t="str" cm="1">
        <f t="array" ref="F28">FirstCharacters(CVs_Cargill[[#This Row],[Nome completo sem acento]])</f>
        <v>M.M.O.R.</v>
      </c>
      <c r="G28" t="str">
        <f>_xlfn.CONCAT(F28,"_",CVs_Cargill[[#This Row],[Coluna2]])</f>
        <v>M.M.O.R._3082019</v>
      </c>
      <c r="H28" t="str">
        <f t="shared" si="1"/>
        <v>C:\UiPath\Muda nome PDF\arquivo_original\MAIRAMARIAOLIVEIRARODRIGUES_3082019.pdf</v>
      </c>
      <c r="I28" t="str">
        <f t="shared" si="0"/>
        <v>C:\UiPath\Muda nome PDF\arquivo_modificado\M.M.O.R._3082019.pdf</v>
      </c>
    </row>
    <row r="29" spans="1:9" x14ac:dyDescent="0.3">
      <c r="A29" s="6" t="s">
        <v>36</v>
      </c>
      <c r="B29" s="4">
        <v>40348882</v>
      </c>
      <c r="C29" t="str">
        <f>VLOOKUP(CVs_Cargill[[#This Row],[Coluna2]],[1]Agendas!$A:$B,2,0)</f>
        <v>marcos daniel silva de jesus</v>
      </c>
      <c r="D29" t="str">
        <f>UPPER(CVs_Cargill[[#This Row],[Nome completo normal]])</f>
        <v>MARCOS DANIEL SILVA DE JESUS</v>
      </c>
      <c r="E29" t="str" cm="1">
        <f t="array" ref="E29">acento(CVs_Cargill[[#This Row],[Nome completo maiusculo]])</f>
        <v>MARCOS DANIEL SILVA DE JESUS</v>
      </c>
      <c r="F29" t="str" cm="1">
        <f t="array" ref="F29">FirstCharacters(CVs_Cargill[[#This Row],[Nome completo sem acento]])</f>
        <v>M.D.S.D.J.</v>
      </c>
      <c r="G29" t="str">
        <f>_xlfn.CONCAT(F29,"_",CVs_Cargill[[#This Row],[Coluna2]])</f>
        <v>M.D.S.D.J._40348882</v>
      </c>
      <c r="H29" t="str">
        <f t="shared" si="1"/>
        <v>C:\UiPath\Muda nome PDF\arquivo_original\MarcosDanielSilvaDeJesus_40348882.pdf</v>
      </c>
      <c r="I29" t="str">
        <f t="shared" si="0"/>
        <v>C:\UiPath\Muda nome PDF\arquivo_modificado\M.D.S.D.J._40348882.pdf</v>
      </c>
    </row>
    <row r="30" spans="1:9" x14ac:dyDescent="0.3">
      <c r="A30" s="5" t="s">
        <v>37</v>
      </c>
      <c r="B30" s="4">
        <v>3108262</v>
      </c>
      <c r="C30" t="str">
        <f>VLOOKUP(CVs_Cargill[[#This Row],[Coluna2]],[1]Agendas!$A:$B,2,0)</f>
        <v>Mateus Silva Barreto</v>
      </c>
      <c r="D30" t="str">
        <f>UPPER(CVs_Cargill[[#This Row],[Nome completo normal]])</f>
        <v>MATEUS SILVA BARRETO</v>
      </c>
      <c r="E30" t="str" cm="1">
        <f t="array" ref="E30">acento(CVs_Cargill[[#This Row],[Nome completo maiusculo]])</f>
        <v>MATEUS SILVA BARRETO</v>
      </c>
      <c r="F30" t="str" cm="1">
        <f t="array" ref="F30">FirstCharacters(CVs_Cargill[[#This Row],[Nome completo sem acento]])</f>
        <v>M.S.B.</v>
      </c>
      <c r="G30" t="str">
        <f>_xlfn.CONCAT(F30,"_",CVs_Cargill[[#This Row],[Coluna2]])</f>
        <v>M.S.B._3108262</v>
      </c>
      <c r="H30" t="str">
        <f t="shared" si="1"/>
        <v>C:\UiPath\Muda nome PDF\arquivo_original\MateusSilvaBarreto_3108262.pdf</v>
      </c>
      <c r="I30" t="str">
        <f t="shared" si="0"/>
        <v>C:\UiPath\Muda nome PDF\arquivo_modificado\M.S.B._3108262.pdf</v>
      </c>
    </row>
    <row r="31" spans="1:9" x14ac:dyDescent="0.3">
      <c r="A31" s="6" t="s">
        <v>38</v>
      </c>
      <c r="B31" s="4">
        <v>3044542</v>
      </c>
      <c r="C31" t="str">
        <f>VLOOKUP(CVs_Cargill[[#This Row],[Coluna2]],[1]Agendas!$A:$B,2,0)</f>
        <v>Matheus Henrique Felizardo</v>
      </c>
      <c r="D31" t="str">
        <f>UPPER(CVs_Cargill[[#This Row],[Nome completo normal]])</f>
        <v>MATHEUS HENRIQUE FELIZARDO</v>
      </c>
      <c r="E31" t="str" cm="1">
        <f t="array" ref="E31">acento(CVs_Cargill[[#This Row],[Nome completo maiusculo]])</f>
        <v>MATHEUS HENRIQUE FELIZARDO</v>
      </c>
      <c r="F31" t="str" cm="1">
        <f t="array" ref="F31">FirstCharacters(CVs_Cargill[[#This Row],[Nome completo sem acento]])</f>
        <v>M.H.F.</v>
      </c>
      <c r="G31" t="str">
        <f>_xlfn.CONCAT(F31,"_",CVs_Cargill[[#This Row],[Coluna2]])</f>
        <v>M.H.F._3044542</v>
      </c>
      <c r="H31" t="str">
        <f t="shared" si="1"/>
        <v>C:\UiPath\Muda nome PDF\arquivo_original\MatheusHenriqueFelizardo_3044542.pdf</v>
      </c>
      <c r="I31" t="str">
        <f t="shared" si="0"/>
        <v>C:\UiPath\Muda nome PDF\arquivo_modificado\M.H.F._3044542.pdf</v>
      </c>
    </row>
    <row r="32" spans="1:9" x14ac:dyDescent="0.3">
      <c r="A32" s="5" t="s">
        <v>39</v>
      </c>
      <c r="B32" s="4">
        <v>40340188</v>
      </c>
      <c r="C32" t="str">
        <f>VLOOKUP(CVs_Cargill[[#This Row],[Coluna2]],[1]Agendas!$A:$B,2,0)</f>
        <v>Matheus José de Assis Batista</v>
      </c>
      <c r="D32" t="str">
        <f>UPPER(CVs_Cargill[[#This Row],[Nome completo normal]])</f>
        <v>MATHEUS JOSÉ DE ASSIS BATISTA</v>
      </c>
      <c r="E32" t="str" cm="1">
        <f t="array" ref="E32">acento(CVs_Cargill[[#This Row],[Nome completo maiusculo]])</f>
        <v>MATHEUS JOSE DE ASSIS BATISTA</v>
      </c>
      <c r="F32" t="str" cm="1">
        <f t="array" ref="F32">FirstCharacters(CVs_Cargill[[#This Row],[Nome completo sem acento]])</f>
        <v>M.J.D.A.B.</v>
      </c>
      <c r="G32" t="str">
        <f>_xlfn.CONCAT(F32,"_",CVs_Cargill[[#This Row],[Coluna2]])</f>
        <v>M.J.D.A.B._40340188</v>
      </c>
      <c r="H32" t="str">
        <f t="shared" si="1"/>
        <v>C:\UiPath\Muda nome PDF\arquivo_original\MatheusJoseDeAssisBatista_40340188.pdf</v>
      </c>
      <c r="I32" t="str">
        <f t="shared" si="0"/>
        <v>C:\UiPath\Muda nome PDF\arquivo_modificado\M.J.D.A.B._40340188.pdf</v>
      </c>
    </row>
    <row r="33" spans="1:9" x14ac:dyDescent="0.3">
      <c r="A33" s="6" t="s">
        <v>40</v>
      </c>
      <c r="B33" s="4">
        <v>40347292</v>
      </c>
      <c r="C33" t="str">
        <f>VLOOKUP(CVs_Cargill[[#This Row],[Coluna2]],[1]Agendas!$A:$B,2,0)</f>
        <v>Maxwell Jaques</v>
      </c>
      <c r="D33" t="str">
        <f>UPPER(CVs_Cargill[[#This Row],[Nome completo normal]])</f>
        <v>MAXWELL JAQUES</v>
      </c>
      <c r="E33" t="str" cm="1">
        <f t="array" ref="E33">acento(CVs_Cargill[[#This Row],[Nome completo maiusculo]])</f>
        <v>MAXWELL JAQUES</v>
      </c>
      <c r="F33" t="str" cm="1">
        <f t="array" ref="F33">FirstCharacters(CVs_Cargill[[#This Row],[Nome completo sem acento]])</f>
        <v>M.J.</v>
      </c>
      <c r="G33" t="str">
        <f>_xlfn.CONCAT(F33,"_",CVs_Cargill[[#This Row],[Coluna2]])</f>
        <v>M.J._40347292</v>
      </c>
      <c r="H33" t="str">
        <f t="shared" si="1"/>
        <v>C:\UiPath\Muda nome PDF\arquivo_original\MaxwellJaques_40347292.pdf</v>
      </c>
      <c r="I33" t="str">
        <f t="shared" si="0"/>
        <v>C:\UiPath\Muda nome PDF\arquivo_modificado\M.J._40347292.pdf</v>
      </c>
    </row>
    <row r="34" spans="1:9" x14ac:dyDescent="0.3">
      <c r="A34" s="5" t="s">
        <v>41</v>
      </c>
      <c r="B34" s="4">
        <v>3827789</v>
      </c>
      <c r="C34" t="str">
        <f>VLOOKUP(CVs_Cargill[[#This Row],[Coluna2]],[1]Agendas!$A:$B,2,0)</f>
        <v xml:space="preserve">Michelly Carvalho da Silva  </v>
      </c>
      <c r="D34" t="str">
        <f>UPPER(CVs_Cargill[[#This Row],[Nome completo normal]])</f>
        <v xml:space="preserve">MICHELLY CARVALHO DA SILVA  </v>
      </c>
      <c r="E34" t="str" cm="1">
        <f t="array" ref="E34">acento(CVs_Cargill[[#This Row],[Nome completo maiusculo]])</f>
        <v xml:space="preserve">MICHELLY CARVALHO DA SILVA  </v>
      </c>
      <c r="F34" t="str" cm="1">
        <f t="array" ref="F34">FirstCharacters(CVs_Cargill[[#This Row],[Nome completo sem acento]])</f>
        <v>M.C.D.S.</v>
      </c>
      <c r="G34" t="str">
        <f>_xlfn.CONCAT(F34,"_",CVs_Cargill[[#This Row],[Coluna2]])</f>
        <v>M.C.D.S._3827789</v>
      </c>
      <c r="H34" t="str">
        <f t="shared" si="1"/>
        <v>C:\UiPath\Muda nome PDF\arquivo_original\MichellyCarvalhoDaSilva_3827789.pdf</v>
      </c>
      <c r="I34" t="str">
        <f t="shared" si="0"/>
        <v>C:\UiPath\Muda nome PDF\arquivo_modificado\M.C.D.S._3827789.pdf</v>
      </c>
    </row>
    <row r="35" spans="1:9" x14ac:dyDescent="0.3">
      <c r="A35" s="6" t="s">
        <v>42</v>
      </c>
      <c r="B35" s="4">
        <v>3105696</v>
      </c>
      <c r="C35" t="str">
        <f>VLOOKUP(CVs_Cargill[[#This Row],[Coluna2]],[1]Agendas!$A:$B,2,0)</f>
        <v>Millena Rodrigues Alborghetti</v>
      </c>
      <c r="D35" t="str">
        <f>UPPER(CVs_Cargill[[#This Row],[Nome completo normal]])</f>
        <v>MILLENA RODRIGUES ALBORGHETTI</v>
      </c>
      <c r="E35" t="str" cm="1">
        <f t="array" ref="E35">acento(CVs_Cargill[[#This Row],[Nome completo maiusculo]])</f>
        <v>MILLENA RODRIGUES ALBORGHETTI</v>
      </c>
      <c r="F35" t="str" cm="1">
        <f t="array" ref="F35">FirstCharacters(CVs_Cargill[[#This Row],[Nome completo sem acento]])</f>
        <v>M.R.A.</v>
      </c>
      <c r="G35" t="str">
        <f>_xlfn.CONCAT(F35,"_",CVs_Cargill[[#This Row],[Coluna2]])</f>
        <v>M.R.A._3105696</v>
      </c>
      <c r="H35" t="str">
        <f t="shared" si="1"/>
        <v>C:\UiPath\Muda nome PDF\arquivo_original\MillenaRodriguesAlborghetti_3105696.pdf</v>
      </c>
      <c r="I35" t="str">
        <f t="shared" si="0"/>
        <v>C:\UiPath\Muda nome PDF\arquivo_modificado\M.R.A._3105696.pdf</v>
      </c>
    </row>
    <row r="36" spans="1:9" x14ac:dyDescent="0.3">
      <c r="A36" s="5" t="s">
        <v>43</v>
      </c>
      <c r="B36" s="4">
        <v>3653820</v>
      </c>
      <c r="C36" t="str">
        <f>VLOOKUP(CVs_Cargill[[#This Row],[Coluna2]],[1]Agendas!$A:$B,2,0)</f>
        <v>MYKAEL JHONATAN ALVES FARIAS</v>
      </c>
      <c r="D36" t="str">
        <f>UPPER(CVs_Cargill[[#This Row],[Nome completo normal]])</f>
        <v>MYKAEL JHONATAN ALVES FARIAS</v>
      </c>
      <c r="E36" t="str" cm="1">
        <f t="array" ref="E36">acento(CVs_Cargill[[#This Row],[Nome completo maiusculo]])</f>
        <v>MYKAEL JHONATAN ALVES FARIAS</v>
      </c>
      <c r="F36" t="str" cm="1">
        <f t="array" ref="F36">FirstCharacters(CVs_Cargill[[#This Row],[Nome completo sem acento]])</f>
        <v>M.J.A.F.</v>
      </c>
      <c r="G36" t="str">
        <f>_xlfn.CONCAT(F36,"_",CVs_Cargill[[#This Row],[Coluna2]])</f>
        <v>M.J.A.F._3653820</v>
      </c>
      <c r="H36" t="str">
        <f t="shared" si="1"/>
        <v>C:\UiPath\Muda nome PDF\arquivo_original\MYKAELJHONATANALVESFARIAS_3653820.pdf</v>
      </c>
      <c r="I36" t="str">
        <f t="shared" si="0"/>
        <v>C:\UiPath\Muda nome PDF\arquivo_modificado\M.J.A.F._3653820.pdf</v>
      </c>
    </row>
    <row r="37" spans="1:9" x14ac:dyDescent="0.3">
      <c r="A37" s="6" t="s">
        <v>44</v>
      </c>
      <c r="B37" s="4">
        <v>3603157</v>
      </c>
      <c r="C37" t="str">
        <f>VLOOKUP(CVs_Cargill[[#This Row],[Coluna2]],[1]Agendas!$A:$B,2,0)</f>
        <v>Náyra Gonçalves Beirão</v>
      </c>
      <c r="D37" t="str">
        <f>UPPER(CVs_Cargill[[#This Row],[Nome completo normal]])</f>
        <v>NÁYRA GONÇALVES BEIRÃO</v>
      </c>
      <c r="E37" t="str" cm="1">
        <f t="array" ref="E37">acento(CVs_Cargill[[#This Row],[Nome completo maiusculo]])</f>
        <v>NAYRA GONCALVES BEIRAO</v>
      </c>
      <c r="F37" t="str" cm="1">
        <f t="array" ref="F37">FirstCharacters(CVs_Cargill[[#This Row],[Nome completo sem acento]])</f>
        <v>N.G.B.</v>
      </c>
      <c r="G37" t="str">
        <f>_xlfn.CONCAT(F37,"_",CVs_Cargill[[#This Row],[Coluna2]])</f>
        <v>N.G.B._3603157</v>
      </c>
      <c r="H37" t="str">
        <f t="shared" si="1"/>
        <v>C:\UiPath\Muda nome PDF\arquivo_original\NayraGoncalvesBeirao_3603157.pdf</v>
      </c>
      <c r="I37" t="str">
        <f t="shared" si="0"/>
        <v>C:\UiPath\Muda nome PDF\arquivo_modificado\N.G.B._3603157.pdf</v>
      </c>
    </row>
    <row r="38" spans="1:9" x14ac:dyDescent="0.3">
      <c r="A38" s="5" t="s">
        <v>45</v>
      </c>
      <c r="B38" s="4">
        <v>40339741</v>
      </c>
      <c r="C38" t="str">
        <f>VLOOKUP(CVs_Cargill[[#This Row],[Coluna2]],[1]Agendas!$A:$B,2,0)</f>
        <v>Otávio Henrique Ferreira</v>
      </c>
      <c r="D38" t="str">
        <f>UPPER(CVs_Cargill[[#This Row],[Nome completo normal]])</f>
        <v>OTÁVIO HENRIQUE FERREIRA</v>
      </c>
      <c r="E38" t="str" cm="1">
        <f t="array" ref="E38">acento(CVs_Cargill[[#This Row],[Nome completo maiusculo]])</f>
        <v>OTAVIO HENRIQUE FERREIRA</v>
      </c>
      <c r="F38" t="str" cm="1">
        <f t="array" ref="F38">FirstCharacters(CVs_Cargill[[#This Row],[Nome completo sem acento]])</f>
        <v>O.H.F.</v>
      </c>
      <c r="G38" t="str">
        <f>_xlfn.CONCAT(F38,"_",CVs_Cargill[[#This Row],[Coluna2]])</f>
        <v>O.H.F._40339741</v>
      </c>
      <c r="H38" t="str">
        <f t="shared" si="1"/>
        <v>C:\UiPath\Muda nome PDF\arquivo_original\OtavioHenriqueFerreira_40339741.pdf</v>
      </c>
      <c r="I38" t="str">
        <f t="shared" si="0"/>
        <v>C:\UiPath\Muda nome PDF\arquivo_modificado\O.H.F._40339741.pdf</v>
      </c>
    </row>
    <row r="39" spans="1:9" x14ac:dyDescent="0.3">
      <c r="A39" s="6" t="s">
        <v>46</v>
      </c>
      <c r="B39" s="4">
        <v>40137324</v>
      </c>
      <c r="C39" t="str">
        <f>VLOOKUP(CVs_Cargill[[#This Row],[Coluna2]],[1]Agendas!$A:$B,2,0)</f>
        <v>Poliana de Almeida</v>
      </c>
      <c r="D39" t="str">
        <f>UPPER(CVs_Cargill[[#This Row],[Nome completo normal]])</f>
        <v>POLIANA DE ALMEIDA</v>
      </c>
      <c r="E39" t="str" cm="1">
        <f t="array" ref="E39">acento(CVs_Cargill[[#This Row],[Nome completo maiusculo]])</f>
        <v>POLIANA DE ALMEIDA</v>
      </c>
      <c r="F39" t="str" cm="1">
        <f t="array" ref="F39">FirstCharacters(CVs_Cargill[[#This Row],[Nome completo sem acento]])</f>
        <v>P.D.A.</v>
      </c>
      <c r="G39" t="str">
        <f>_xlfn.CONCAT(F39,"_",CVs_Cargill[[#This Row],[Coluna2]])</f>
        <v>P.D.A._40137324</v>
      </c>
      <c r="H39" t="str">
        <f t="shared" si="1"/>
        <v>C:\UiPath\Muda nome PDF\arquivo_original\PolianaDeAlmeida_40137324.pdf</v>
      </c>
      <c r="I39" t="str">
        <f t="shared" si="0"/>
        <v>C:\UiPath\Muda nome PDF\arquivo_modificado\P.D.A._40137324.pdf</v>
      </c>
    </row>
    <row r="40" spans="1:9" x14ac:dyDescent="0.3">
      <c r="A40" s="5" t="s">
        <v>47</v>
      </c>
      <c r="B40" s="4">
        <v>40248327</v>
      </c>
      <c r="C40" t="str">
        <f>VLOOKUP(CVs_Cargill[[#This Row],[Coluna2]],[1]Agendas!$A:$B,2,0)</f>
        <v xml:space="preserve">Renata Aguiar Figueiredo </v>
      </c>
      <c r="D40" t="str">
        <f>UPPER(CVs_Cargill[[#This Row],[Nome completo normal]])</f>
        <v xml:space="preserve">RENATA AGUIAR FIGUEIREDO </v>
      </c>
      <c r="E40" t="str" cm="1">
        <f t="array" ref="E40">acento(CVs_Cargill[[#This Row],[Nome completo maiusculo]])</f>
        <v xml:space="preserve">RENATA AGUIAR FIGUEIREDO </v>
      </c>
      <c r="F40" t="str" cm="1">
        <f t="array" ref="F40">FirstCharacters(CVs_Cargill[[#This Row],[Nome completo sem acento]])</f>
        <v>R.A.F.</v>
      </c>
      <c r="G40" t="str">
        <f>_xlfn.CONCAT(F40,"_",CVs_Cargill[[#This Row],[Coluna2]])</f>
        <v>R.A.F._40248327</v>
      </c>
      <c r="H40" t="str">
        <f t="shared" si="1"/>
        <v>C:\UiPath\Muda nome PDF\arquivo_original\RenataAguiarFigueiredo_40248327.pdf</v>
      </c>
      <c r="I40" t="str">
        <f t="shared" si="0"/>
        <v>C:\UiPath\Muda nome PDF\arquivo_modificado\R.A.F._40248327.pdf</v>
      </c>
    </row>
    <row r="41" spans="1:9" x14ac:dyDescent="0.3">
      <c r="A41" s="6" t="s">
        <v>48</v>
      </c>
      <c r="B41" s="4">
        <v>40430003</v>
      </c>
      <c r="C41" t="str">
        <f>VLOOKUP(CVs_Cargill[[#This Row],[Coluna2]],[1]Agendas!$A:$B,2,0)</f>
        <v>RIANE FERREIRA DA SILVA</v>
      </c>
      <c r="D41" t="str">
        <f>UPPER(CVs_Cargill[[#This Row],[Nome completo normal]])</f>
        <v>RIANE FERREIRA DA SILVA</v>
      </c>
      <c r="E41" t="str" cm="1">
        <f t="array" ref="E41">acento(CVs_Cargill[[#This Row],[Nome completo maiusculo]])</f>
        <v>RIANE FERREIRA DA SILVA</v>
      </c>
      <c r="F41" t="str" cm="1">
        <f t="array" ref="F41">FirstCharacters(CVs_Cargill[[#This Row],[Nome completo sem acento]])</f>
        <v>R.F.D.S.</v>
      </c>
      <c r="G41" t="str">
        <f>_xlfn.CONCAT(F41,"_",CVs_Cargill[[#This Row],[Coluna2]])</f>
        <v>R.F.D.S._40430003</v>
      </c>
      <c r="H41" t="str">
        <f t="shared" si="1"/>
        <v>C:\UiPath\Muda nome PDF\arquivo_original\RIANEFERREIRADASILVA_40430003.pdf</v>
      </c>
      <c r="I41" t="str">
        <f t="shared" si="0"/>
        <v>C:\UiPath\Muda nome PDF\arquivo_modificado\R.F.D.S._40430003.pdf</v>
      </c>
    </row>
    <row r="42" spans="1:9" x14ac:dyDescent="0.3">
      <c r="A42" s="5" t="s">
        <v>49</v>
      </c>
      <c r="B42" s="4">
        <v>40270558</v>
      </c>
      <c r="C42" t="str">
        <f>VLOOKUP(CVs_Cargill[[#This Row],[Coluna2]],[1]Agendas!$A:$B,2,0)</f>
        <v>Rivanisson Gabriel Gonçalves da Silva Souza</v>
      </c>
      <c r="D42" t="str">
        <f>UPPER(CVs_Cargill[[#This Row],[Nome completo normal]])</f>
        <v>RIVANISSON GABRIEL GONÇALVES DA SILVA SOUZA</v>
      </c>
      <c r="E42" t="str" cm="1">
        <f t="array" ref="E42">acento(CVs_Cargill[[#This Row],[Nome completo maiusculo]])</f>
        <v>RIVANISSON GABRIEL GONCALVES DA SILVA SOUZA</v>
      </c>
      <c r="F42" t="str" cm="1">
        <f t="array" ref="F42">FirstCharacters(CVs_Cargill[[#This Row],[Nome completo sem acento]])</f>
        <v>R.G.G.D.S.S.</v>
      </c>
      <c r="G42" t="str">
        <f>_xlfn.CONCAT(F42,"_",CVs_Cargill[[#This Row],[Coluna2]])</f>
        <v>R.G.G.D.S.S._40270558</v>
      </c>
      <c r="H42" t="str">
        <f t="shared" si="1"/>
        <v>C:\UiPath\Muda nome PDF\arquivo_original\RivanissonGabrielGoncalvesDaSilvaSouza_40270558.pdf</v>
      </c>
      <c r="I42" t="str">
        <f t="shared" si="0"/>
        <v>C:\UiPath\Muda nome PDF\arquivo_modificado\R.G.G.D.S.S._40270558.pdf</v>
      </c>
    </row>
    <row r="43" spans="1:9" x14ac:dyDescent="0.3">
      <c r="A43" s="6" t="s">
        <v>50</v>
      </c>
      <c r="B43" s="4">
        <v>3747509</v>
      </c>
      <c r="C43" t="str">
        <f>VLOOKUP(CVs_Cargill[[#This Row],[Coluna2]],[1]Agendas!$A:$B,2,0)</f>
        <v>Rodolfo Montalvão</v>
      </c>
      <c r="D43" t="str">
        <f>UPPER(CVs_Cargill[[#This Row],[Nome completo normal]])</f>
        <v>RODOLFO MONTALVÃO</v>
      </c>
      <c r="E43" t="str" cm="1">
        <f t="array" ref="E43">acento(CVs_Cargill[[#This Row],[Nome completo maiusculo]])</f>
        <v>RODOLFO MONTALVAO</v>
      </c>
      <c r="F43" t="str" cm="1">
        <f t="array" ref="F43">FirstCharacters(CVs_Cargill[[#This Row],[Nome completo sem acento]])</f>
        <v>R.M.</v>
      </c>
      <c r="G43" t="str">
        <f>_xlfn.CONCAT(F43,"_",CVs_Cargill[[#This Row],[Coluna2]])</f>
        <v>R.M._3747509</v>
      </c>
      <c r="H43" t="str">
        <f t="shared" si="1"/>
        <v>C:\UiPath\Muda nome PDF\arquivo_original\RodolfoMontalvao_3747509.pdf</v>
      </c>
      <c r="I43" t="str">
        <f t="shared" si="0"/>
        <v>C:\UiPath\Muda nome PDF\arquivo_modificado\R.M._3747509.pdf</v>
      </c>
    </row>
    <row r="44" spans="1:9" x14ac:dyDescent="0.3">
      <c r="A44" s="5" t="s">
        <v>51</v>
      </c>
      <c r="B44" s="4">
        <v>3654966</v>
      </c>
      <c r="C44" t="str">
        <f>VLOOKUP(CVs_Cargill[[#This Row],[Coluna2]],[1]Agendas!$A:$B,2,0)</f>
        <v>TALES DE ARAUJO CRUZ</v>
      </c>
      <c r="D44" t="str">
        <f>UPPER(CVs_Cargill[[#This Row],[Nome completo normal]])</f>
        <v>TALES DE ARAUJO CRUZ</v>
      </c>
      <c r="E44" t="str" cm="1">
        <f t="array" ref="E44">acento(CVs_Cargill[[#This Row],[Nome completo maiusculo]])</f>
        <v>TALES DE ARAUJO CRUZ</v>
      </c>
      <c r="F44" t="str" cm="1">
        <f t="array" ref="F44">FirstCharacters(CVs_Cargill[[#This Row],[Nome completo sem acento]])</f>
        <v>T.D.A.C.</v>
      </c>
      <c r="G44" t="str">
        <f>_xlfn.CONCAT(F44,"_",CVs_Cargill[[#This Row],[Coluna2]])</f>
        <v>T.D.A.C._3654966</v>
      </c>
      <c r="H44" t="str">
        <f t="shared" si="1"/>
        <v>C:\UiPath\Muda nome PDF\arquivo_original\TALESDEARAUJOCRUZ_3654966.pdf</v>
      </c>
      <c r="I44" t="str">
        <f t="shared" si="0"/>
        <v>C:\UiPath\Muda nome PDF\arquivo_modificado\T.D.A.C._3654966.pdf</v>
      </c>
    </row>
    <row r="45" spans="1:9" x14ac:dyDescent="0.3">
      <c r="A45" s="6" t="s">
        <v>52</v>
      </c>
      <c r="B45" s="4">
        <v>3414412</v>
      </c>
      <c r="C45" t="str">
        <f>VLOOKUP(CVs_Cargill[[#This Row],[Coluna2]],[1]Agendas!$A:$B,2,0)</f>
        <v>Tercilia Ribeiro Lima</v>
      </c>
      <c r="D45" t="str">
        <f>UPPER(CVs_Cargill[[#This Row],[Nome completo normal]])</f>
        <v>TERCILIA RIBEIRO LIMA</v>
      </c>
      <c r="E45" t="str" cm="1">
        <f t="array" ref="E45">acento(CVs_Cargill[[#This Row],[Nome completo maiusculo]])</f>
        <v>TERCILIA RIBEIRO LIMA</v>
      </c>
      <c r="F45" t="str" cm="1">
        <f t="array" ref="F45">FirstCharacters(CVs_Cargill[[#This Row],[Nome completo sem acento]])</f>
        <v>T.R.L.</v>
      </c>
      <c r="G45" t="str">
        <f>_xlfn.CONCAT(F45,"_",CVs_Cargill[[#This Row],[Coluna2]])</f>
        <v>T.R.L._3414412</v>
      </c>
      <c r="H45" t="str">
        <f t="shared" si="1"/>
        <v>C:\UiPath\Muda nome PDF\arquivo_original\TerciliaRibeiroLima_3414412.pdf</v>
      </c>
      <c r="I45" t="str">
        <f t="shared" si="0"/>
        <v>C:\UiPath\Muda nome PDF\arquivo_modificado\T.R.L._3414412.pdf</v>
      </c>
    </row>
    <row r="46" spans="1:9" x14ac:dyDescent="0.3">
      <c r="A46" s="5" t="s">
        <v>53</v>
      </c>
      <c r="B46" s="4">
        <v>40346851</v>
      </c>
      <c r="C46" t="str">
        <f>VLOOKUP(CVs_Cargill[[#This Row],[Coluna2]],[1]Agendas!$A:$B,2,0)</f>
        <v>Thaiane Karine Guerlinguer</v>
      </c>
      <c r="D46" t="str">
        <f>UPPER(CVs_Cargill[[#This Row],[Nome completo normal]])</f>
        <v>THAIANE KARINE GUERLINGUER</v>
      </c>
      <c r="E46" t="str" cm="1">
        <f t="array" ref="E46">acento(CVs_Cargill[[#This Row],[Nome completo maiusculo]])</f>
        <v>THAIANE KARINE GUERLINGUER</v>
      </c>
      <c r="F46" t="str" cm="1">
        <f t="array" ref="F46">FirstCharacters(CVs_Cargill[[#This Row],[Nome completo sem acento]])</f>
        <v>T.K.G.</v>
      </c>
      <c r="G46" t="str">
        <f>_xlfn.CONCAT(F46,"_",CVs_Cargill[[#This Row],[Coluna2]])</f>
        <v>T.K.G._40346851</v>
      </c>
      <c r="H46" t="str">
        <f t="shared" si="1"/>
        <v>C:\UiPath\Muda nome PDF\arquivo_original\ThaianeKarineGuerlinguer_40346851.pdf</v>
      </c>
      <c r="I46" t="str">
        <f t="shared" si="0"/>
        <v>C:\UiPath\Muda nome PDF\arquivo_modificado\T.K.G._40346851.pdf</v>
      </c>
    </row>
    <row r="47" spans="1:9" x14ac:dyDescent="0.3">
      <c r="A47" s="6" t="s">
        <v>54</v>
      </c>
      <c r="B47" s="4">
        <v>3445070</v>
      </c>
      <c r="C47" t="str">
        <f>VLOOKUP(CVs_Cargill[[#This Row],[Coluna2]],[1]Agendas!$A:$B,2,0)</f>
        <v>Thiago Martins Souza Coelho</v>
      </c>
      <c r="D47" t="str">
        <f>UPPER(CVs_Cargill[[#This Row],[Nome completo normal]])</f>
        <v>THIAGO MARTINS SOUZA COELHO</v>
      </c>
      <c r="E47" t="str" cm="1">
        <f t="array" ref="E47">acento(CVs_Cargill[[#This Row],[Nome completo maiusculo]])</f>
        <v>THIAGO MARTINS SOUZA COELHO</v>
      </c>
      <c r="F47" t="str" cm="1">
        <f t="array" ref="F47">FirstCharacters(CVs_Cargill[[#This Row],[Nome completo sem acento]])</f>
        <v>T.M.S.C.</v>
      </c>
      <c r="G47" t="str">
        <f>_xlfn.CONCAT(F47,"_",CVs_Cargill[[#This Row],[Coluna2]])</f>
        <v>T.M.S.C._3445070</v>
      </c>
      <c r="H47" t="str">
        <f t="shared" si="1"/>
        <v>C:\UiPath\Muda nome PDF\arquivo_original\ThiagoMartinsSouzaCoelho_3445070.pdf</v>
      </c>
      <c r="I47" t="str">
        <f t="shared" si="0"/>
        <v>C:\UiPath\Muda nome PDF\arquivo_modificado\T.M.S.C._3445070.pdf</v>
      </c>
    </row>
    <row r="48" spans="1:9" x14ac:dyDescent="0.3">
      <c r="A48" s="5" t="s">
        <v>55</v>
      </c>
      <c r="B48" s="4">
        <v>40261050</v>
      </c>
      <c r="C48" t="str">
        <f>VLOOKUP(CVs_Cargill[[#This Row],[Coluna2]],[1]Agendas!$A:$B,2,0)</f>
        <v>Victor Lujan Pires Martins Marcelino</v>
      </c>
      <c r="D48" t="str">
        <f>UPPER(CVs_Cargill[[#This Row],[Nome completo normal]])</f>
        <v>VICTOR LUJAN PIRES MARTINS MARCELINO</v>
      </c>
      <c r="E48" t="str" cm="1">
        <f t="array" ref="E48">acento(CVs_Cargill[[#This Row],[Nome completo maiusculo]])</f>
        <v>VICTOR LUJAN PIRES MARTINS MARCELINO</v>
      </c>
      <c r="F48" t="str" cm="1">
        <f t="array" ref="F48">FirstCharacters(CVs_Cargill[[#This Row],[Nome completo sem acento]])</f>
        <v>V.L.P.M.M.</v>
      </c>
      <c r="G48" t="str">
        <f>_xlfn.CONCAT(F48,"_",CVs_Cargill[[#This Row],[Coluna2]])</f>
        <v>V.L.P.M.M._40261050</v>
      </c>
      <c r="H48" t="str">
        <f t="shared" si="1"/>
        <v>C:\UiPath\Muda nome PDF\arquivo_original\VictorLujanPiresMartinsMarcelino_40261050.pdf</v>
      </c>
      <c r="I48" t="str">
        <f t="shared" si="0"/>
        <v>C:\UiPath\Muda nome PDF\arquivo_modificado\V.L.P.M.M._40261050.pdf</v>
      </c>
    </row>
    <row r="49" spans="1:9" x14ac:dyDescent="0.3">
      <c r="A49" s="6" t="s">
        <v>56</v>
      </c>
      <c r="B49" s="4">
        <v>3254138</v>
      </c>
      <c r="C49" s="4" t="str">
        <f>VLOOKUP(CVs_Cargill[[#This Row],[Coluna2]],[1]Agendas!$A:$B,2,0)</f>
        <v>Walder Junior do Carmo Gomes</v>
      </c>
      <c r="D49" s="4" t="str">
        <f>UPPER(CVs_Cargill[[#This Row],[Nome completo normal]])</f>
        <v>WALDER JUNIOR DO CARMO GOMES</v>
      </c>
      <c r="E49" s="4" t="str" cm="1">
        <f t="array" ref="E49">acento(CVs_Cargill[[#This Row],[Nome completo maiusculo]])</f>
        <v>WALDER JUNIOR DO CARMO GOMES</v>
      </c>
      <c r="F49" s="4" t="str" cm="1">
        <f t="array" ref="F49">FirstCharacters(CVs_Cargill[[#This Row],[Nome completo sem acento]])</f>
        <v>W.J.D.C.G.</v>
      </c>
      <c r="G49" s="4" t="str">
        <f>_xlfn.CONCAT(F49,"_",CVs_Cargill[[#This Row],[Coluna2]])</f>
        <v>W.J.D.C.G._3254138</v>
      </c>
      <c r="H49" t="str">
        <f t="shared" si="1"/>
        <v>C:\UiPath\Muda nome PDF\arquivo_original\WalderJuniorDoCarmoGomes_3254138.pdf</v>
      </c>
      <c r="I49" t="str">
        <f t="shared" si="0"/>
        <v>C:\UiPath\Muda nome PDF\arquivo_modificado\W.J.D.C.G._3254138.pdf</v>
      </c>
    </row>
    <row r="50" spans="1:9" x14ac:dyDescent="0.3">
      <c r="H50" t="str">
        <f t="shared" si="1"/>
        <v>C:\UiPath\Muda nome PDF\arquivo_original\</v>
      </c>
      <c r="I50" t="str">
        <f t="shared" si="0"/>
        <v>C:\UiPath\Muda nome PDF\arquivo_modificado\.pdf</v>
      </c>
    </row>
    <row r="51" spans="1:9" x14ac:dyDescent="0.3">
      <c r="H51" t="str">
        <f t="shared" si="1"/>
        <v>C:\UiPath\Muda nome PDF\arquivo_original\</v>
      </c>
      <c r="I51" t="str">
        <f t="shared" si="0"/>
        <v>C:\UiPath\Muda nome PDF\arquivo_modificado\.pdf</v>
      </c>
    </row>
    <row r="52" spans="1:9" x14ac:dyDescent="0.3">
      <c r="H52" t="str">
        <f t="shared" si="1"/>
        <v>C:\UiPath\Muda nome PDF\arquivo_original\</v>
      </c>
      <c r="I52" t="str">
        <f t="shared" si="0"/>
        <v>C:\UiPath\Muda nome PDF\arquivo_modificado\.pdf</v>
      </c>
    </row>
    <row r="53" spans="1:9" x14ac:dyDescent="0.3">
      <c r="H53" t="str">
        <f t="shared" si="1"/>
        <v>C:\UiPath\Muda nome PDF\arquivo_original\</v>
      </c>
      <c r="I53" t="str">
        <f t="shared" si="0"/>
        <v>C:\UiPath\Muda nome PDF\arquivo_modificado\.pdf</v>
      </c>
    </row>
    <row r="54" spans="1:9" x14ac:dyDescent="0.3">
      <c r="H54" t="str">
        <f t="shared" si="1"/>
        <v>C:\UiPath\Muda nome PDF\arquivo_original\</v>
      </c>
      <c r="I54" t="str">
        <f t="shared" si="0"/>
        <v>C:\UiPath\Muda nome PDF\arquivo_modificado\.pdf</v>
      </c>
    </row>
    <row r="55" spans="1:9" x14ac:dyDescent="0.3">
      <c r="H55" t="str">
        <f t="shared" si="1"/>
        <v>C:\UiPath\Muda nome PDF\arquivo_original\</v>
      </c>
      <c r="I55" t="str">
        <f t="shared" si="0"/>
        <v>C:\UiPath\Muda nome PDF\arquivo_modificado\.pdf</v>
      </c>
    </row>
    <row r="56" spans="1:9" x14ac:dyDescent="0.3">
      <c r="H56" t="str">
        <f t="shared" si="1"/>
        <v>C:\UiPath\Muda nome PDF\arquivo_original\</v>
      </c>
      <c r="I56" t="str">
        <f t="shared" si="0"/>
        <v>C:\UiPath\Muda nome PDF\arquivo_modificado\.pdf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13A8-5E43-492D-9A15-37459839B647}">
  <sheetPr codeName="Planilha3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 xmlns="42e0ad70-08e4-4aa5-a63b-f1765cc8c615" xsi:nil="true"/>
    <_Flow_SignoffStatus xmlns="42e0ad70-08e4-4aa5-a63b-f1765cc8c615" xsi:nil="true"/>
    <TaxCatchAll xmlns="63b412f5-e0e2-4a88-8c3f-df6ad6998c08" xsi:nil="true"/>
    <Modificadoem xmlns="42e0ad70-08e4-4aa5-a63b-f1765cc8c61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32B86CBA299545B3AD8BD5E84D20BA" ma:contentTypeVersion="21" ma:contentTypeDescription="Crie um novo documento." ma:contentTypeScope="" ma:versionID="76e79004d0ce3a9f7bc7cd73635c756b">
  <xsd:schema xmlns:xsd="http://www.w3.org/2001/XMLSchema" xmlns:xs="http://www.w3.org/2001/XMLSchema" xmlns:p="http://schemas.microsoft.com/office/2006/metadata/properties" xmlns:ns2="42e0ad70-08e4-4aa5-a63b-f1765cc8c615" xmlns:ns3="63b412f5-e0e2-4a88-8c3f-df6ad6998c08" targetNamespace="http://schemas.microsoft.com/office/2006/metadata/properties" ma:root="true" ma:fieldsID="3f9d6891a44eabbf2aede4a9bee4008a" ns2:_="" ns3:_="">
    <xsd:import namespace="42e0ad70-08e4-4aa5-a63b-f1765cc8c615"/>
    <xsd:import namespace="63b412f5-e0e2-4a88-8c3f-df6ad6998c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LengthInSeconds" minOccurs="0"/>
                <xsd:element ref="ns3:TaxCatchAll" minOccurs="0"/>
                <xsd:element ref="ns2:Data" minOccurs="0"/>
                <xsd:element ref="ns2:Modificadoem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e0ad70-08e4-4aa5-a63b-f1765cc8c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Estado da aprovação" ma:internalName="Estado_x0020_da_x0020_aprova_x00e7__x00e3_o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Data" ma:index="24" nillable="true" ma:displayName="Data" ma:format="DateOnly" ma:internalName="Data">
      <xsd:simpleType>
        <xsd:restriction base="dms:DateTime"/>
      </xsd:simpleType>
    </xsd:element>
    <xsd:element name="Modificadoem" ma:index="25" nillable="true" ma:displayName="Modificado em" ma:format="DateOnly" ma:internalName="Modificadoem">
      <xsd:simpleType>
        <xsd:restriction base="dms:DateTime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b412f5-e0e2-4a88-8c3f-df6ad6998c0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28dec41-0815-41fe-8ff6-f6db5a42a30f}" ma:internalName="TaxCatchAll" ma:showField="CatchAllData" ma:web="63b412f5-e0e2-4a88-8c3f-df6ad6998c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FD30FE0-264D-49FF-A7ED-B524423182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7B3C88-47E0-4379-B97E-C6B49F8FD931}">
  <ds:schemaRefs>
    <ds:schemaRef ds:uri="http://schemas.microsoft.com/office/2006/metadata/properties"/>
    <ds:schemaRef ds:uri="http://schemas.microsoft.com/office/infopath/2007/PartnerControls"/>
    <ds:schemaRef ds:uri="42e0ad70-08e4-4aa5-a63b-f1765cc8c615"/>
    <ds:schemaRef ds:uri="63b412f5-e0e2-4a88-8c3f-df6ad6998c08"/>
  </ds:schemaRefs>
</ds:datastoreItem>
</file>

<file path=customXml/itemProps3.xml><?xml version="1.0" encoding="utf-8"?>
<ds:datastoreItem xmlns:ds="http://schemas.openxmlformats.org/officeDocument/2006/customXml" ds:itemID="{1474D4FD-4D12-40C0-918B-211200A561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e0ad70-08e4-4aa5-a63b-f1765cc8c615"/>
    <ds:schemaRef ds:uri="63b412f5-e0e2-4a88-8c3f-df6ad6998c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570BCBC-5117-4451-AD10-8A3541B8C4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CVs Cargill</vt:lpstr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Leandro Bicker de Castro</dc:creator>
  <cp:keywords/>
  <dc:description/>
  <cp:lastModifiedBy>Arthur Lima Nascimento</cp:lastModifiedBy>
  <cp:revision/>
  <dcterms:created xsi:type="dcterms:W3CDTF">2023-04-28T18:24:42Z</dcterms:created>
  <dcterms:modified xsi:type="dcterms:W3CDTF">2023-06-26T14:31:50Z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0x0101009732B86CBA299545B3AD8BD5E84D20BA</vt:lpwstr>
  </property>
</Properties>
</file>